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Descriptive Statistics" sheetId="2" state="visible" r:id="rId2"/>
    <sheet xmlns:r="http://schemas.openxmlformats.org/officeDocument/2006/relationships" name="Correlation &amp; Regression" sheetId="3" state="visible" r:id="rId3"/>
    <sheet xmlns:r="http://schemas.openxmlformats.org/officeDocument/2006/relationships" name="Hypothesis Test" sheetId="4" state="visible" r:id="rId4"/>
    <sheet xmlns:r="http://schemas.openxmlformats.org/officeDocument/2006/relationships" name="Charts" sheetId="5" state="visible" r:id="rId5"/>
    <sheet xmlns:r="http://schemas.openxmlformats.org/officeDocument/2006/relationships" name="Interpret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0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  <sz val="14"/>
    </font>
    <font>
      <name val="Arial"/>
      <i val="1"/>
      <color rgb="00595959"/>
    </font>
    <font>
      <name val="Arial"/>
      <b val="1"/>
    </font>
    <font>
      <name val="Arial"/>
    </font>
    <font>
      <name val="Arial"/>
      <i val="1"/>
      <color rgb="00595959"/>
      <sz val="9"/>
    </font>
    <font>
      <name val="Arial"/>
      <color rgb="00000000"/>
    </font>
    <font>
      <name val="Arial"/>
      <color rgb="000000FF"/>
    </font>
    <font>
      <name val="Arial"/>
      <b val="1"/>
      <color rgb="0000000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5" fillId="0" borderId="0" applyAlignment="1" pivotButton="0" quotePrefix="0" xfId="0">
      <alignment horizontal="right"/>
    </xf>
    <xf numFmtId="2" fontId="5" fillId="0" borderId="0" applyAlignment="1" pivotButton="0" quotePrefix="0" xfId="0">
      <alignment horizontal="right"/>
    </xf>
    <xf numFmtId="0" fontId="6" fillId="0" borderId="0" pivotButton="0" quotePrefix="0" xfId="0"/>
    <xf numFmtId="164" fontId="5" fillId="0" borderId="0" applyAlignment="1" pivotButton="0" quotePrefix="0" xfId="0">
      <alignment horizontal="right"/>
    </xf>
    <xf numFmtId="49" fontId="5" fillId="0" borderId="0" applyAlignment="1" pivotButton="0" quotePrefix="0" xfId="0">
      <alignment horizontal="right"/>
    </xf>
    <xf numFmtId="0" fontId="5" fillId="0" borderId="0" pivotButton="0" quotePrefix="0" xfId="0"/>
    <xf numFmtId="2" fontId="0" fillId="0" borderId="0" pivotButton="0" quotePrefix="0" xfId="0"/>
    <xf numFmtId="49" fontId="7" fillId="0" borderId="0" applyAlignment="1" pivotButton="0" quotePrefix="0" xfId="0">
      <alignment horizontal="left" wrapText="1"/>
    </xf>
    <xf numFmtId="2" fontId="8" fillId="0" borderId="0" applyAlignment="1" pivotButton="0" quotePrefix="0" xfId="0">
      <alignment horizontal="left" wrapText="1"/>
    </xf>
    <xf numFmtId="1" fontId="7" fillId="0" borderId="0" applyAlignment="1" pivotButton="0" quotePrefix="0" xfId="0">
      <alignment horizontal="left" wrapText="1"/>
    </xf>
    <xf numFmtId="164" fontId="7" fillId="0" borderId="0" applyAlignment="1" pivotButton="0" quotePrefix="0" xfId="0">
      <alignment horizontal="left" wrapText="1"/>
    </xf>
    <xf numFmtId="49" fontId="9" fillId="0" borderId="0" applyAlignment="1" pivotButton="0" quotePrefix="0" xfId="0">
      <alignment horizontal="left" wrapText="1"/>
    </xf>
    <xf numFmtId="0" fontId="8" fillId="0" borderId="0" pivotButton="0" quotePrefix="0" xfId="0"/>
    <xf numFmtId="0" fontId="4" fillId="0" borderId="0" applyAlignment="1" pivotButton="0" quotePrefix="0" xfId="0">
      <alignment vertical="top" wrapText="1"/>
    </xf>
    <xf numFmtId="49" fontId="5" fillId="0" borderId="0" applyAlignment="1" pivotButton="0" quotePrefix="0" xfId="0">
      <alignment horizontal="left" vertical="top" wrapText="1"/>
    </xf>
    <xf numFmtId="1" fontId="5" fillId="0" borderId="0" applyAlignment="1" pivotButton="0" quotePrefix="0" xfId="0">
      <alignment horizontal="left" vertical="top" wrapText="1"/>
    </xf>
    <xf numFmtId="2" fontId="5" fillId="0" borderId="0" applyAlignment="1" pivotButton="0" quotePrefix="0" xfId="0">
      <alignment horizontal="left" vertical="top" wrapText="1"/>
    </xf>
    <xf numFmtId="164" fontId="5" fillId="0" borderId="0" applyAlignment="1" pivotButton="0" quotePrefix="0" xfId="0">
      <alignment horizontal="left" vertical="top" wrapText="1"/>
    </xf>
    <xf numFmtId="49" fontId="4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Screen Time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'Charts'!D4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solidFill>
                <a:srgbClr val="FFFFFF"/>
              </a:solidFill>
              <a:prstDash val="solid"/>
            </a:ln>
          </spPr>
          <cat>
            <numRef>
              <f>'Charts'!$C$5:$C$11</f>
            </numRef>
          </cat>
          <val>
            <numRef>
              <f>'Charts'!$D$5:$D$11</f>
            </numRef>
          </val>
        </ser>
        <gapWidth val="5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Screen Time (hours/day)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students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Sleep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'Charts'!I4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solidFill>
                <a:srgbClr val="FFFFFF"/>
              </a:solidFill>
              <a:prstDash val="solid"/>
            </a:ln>
          </spPr>
          <cat>
            <numRef>
              <f>'Charts'!$H$5:$H$12</f>
            </numRef>
          </cat>
          <val>
            <numRef>
              <f>'Charts'!$I$5:$I$12</f>
            </numRef>
          </val>
        </ser>
        <gapWidth val="5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Sleep (hours/night)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students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Screen Time vs Sleep</a:t>
            </a:r>
          </a:p>
        </rich>
      </tx>
    </title>
    <plotArea>
      <scatterChart>
        <ser>
          <idx val="0"/>
          <order val="0"/>
          <tx>
            <v>Students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2E75B6"/>
              </a:solidFill>
              <a:ln xmlns:a="http://schemas.openxmlformats.org/drawingml/2006/main">
                <a:solidFill>
                  <a:srgbClr val="2E75B6"/>
                </a:solidFill>
                <a:prstDash val="solid"/>
              </a:ln>
            </spPr>
          </marker>
          <trendline>
            <trendlineType val="linear"/>
            <dispRSqr val="1"/>
            <dispEq val="1"/>
          </trendline>
          <xVal>
            <numRef>
              <f>'Data'!$B$2:$B$501</f>
            </numRef>
          </xVal>
          <yVal>
            <numRef>
              <f>'Data'!$C$2:$C$501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Screen Time (hours/day)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Sleep (hours/night)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540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14</row>
      <rowOff>0</rowOff>
    </from>
    <ext cx="5400000" cy="30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33</row>
      <rowOff>0</rowOff>
    </from>
    <ext cx="7200000" cy="39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22" customWidth="1" min="3" max="3"/>
  </cols>
  <sheetData>
    <row r="1">
      <c r="A1" s="1" t="inlineStr">
        <is>
          <t>Student</t>
        </is>
      </c>
      <c r="B1" s="1" t="inlineStr">
        <is>
          <t>Screen Time (hours/day)</t>
        </is>
      </c>
      <c r="C1" s="1" t="inlineStr">
        <is>
          <t>Sleep (hours/night)</t>
        </is>
      </c>
    </row>
  </sheetData>
  <dataValidations count="2">
    <dataValidation sqref="A2:A501" showDropDown="0" showInputMessage="0" showErrorMessage="1" allowBlank="1" error="Student number must be a whole number above 0." type="whole" operator="greaterThan">
      <formula1>0</formula1>
    </dataValidation>
    <dataValidation sqref="B2:C501" showDropDown="0" showInputMessage="0" showErrorMessage="1" allowBlank="1" error="Enter hours between 0 and 24." type="decimal" operator="between">
      <formula1>0</formula1>
      <formula2>24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  <col width="22" customWidth="1" min="3" max="3"/>
  </cols>
  <sheetData>
    <row r="1">
      <c r="A1" s="2" t="inlineStr">
        <is>
          <t>Descriptive Statistics</t>
        </is>
      </c>
    </row>
    <row r="2">
      <c r="A2" s="3" t="inlineStr">
        <is>
          <t>All values are formulas based on Data!B2:C501. They update automatically.</t>
        </is>
      </c>
    </row>
    <row r="4">
      <c r="A4" s="1" t="inlineStr">
        <is>
          <t>Statistic</t>
        </is>
      </c>
      <c r="B4" s="1" t="inlineStr">
        <is>
          <t>Screen Time (hours/day)</t>
        </is>
      </c>
      <c r="C4" s="1" t="inlineStr">
        <is>
          <t>Sleep (hours/night)</t>
        </is>
      </c>
    </row>
    <row r="5">
      <c r="A5" s="4" t="inlineStr">
        <is>
          <t>Number of observations (n)</t>
        </is>
      </c>
      <c r="B5" s="5">
        <f>COUNT(Data!$B$2:$B$501)</f>
        <v/>
      </c>
      <c r="C5" s="5">
        <f>COUNT(Data!$C$2:$C$501)</f>
        <v/>
      </c>
    </row>
    <row r="6">
      <c r="A6" s="4" t="inlineStr">
        <is>
          <t>Mean</t>
        </is>
      </c>
      <c r="B6" s="6">
        <f>IF(B$5&lt;1,"n/a",AVERAGE(Data!$B$2:$B$501))</f>
        <v/>
      </c>
      <c r="C6" s="6">
        <f>IF(C$5&lt;1,"n/a",AVERAGE(Data!$C$2:$C$501))</f>
        <v/>
      </c>
    </row>
    <row r="7">
      <c r="A7" s="4" t="inlineStr">
        <is>
          <t>Median</t>
        </is>
      </c>
      <c r="B7" s="6">
        <f>IF(B$5&lt;1,"n/a",MEDIAN(Data!$B$2:$B$501))</f>
        <v/>
      </c>
      <c r="C7" s="6">
        <f>IF(C$5&lt;1,"n/a",MEDIAN(Data!$C$2:$C$501))</f>
        <v/>
      </c>
    </row>
    <row r="8">
      <c r="A8" s="4" t="inlineStr">
        <is>
          <t>Minimum</t>
        </is>
      </c>
      <c r="B8" s="6">
        <f>IF(B$5&lt;1,"n/a",MIN(Data!$B$2:$B$501))</f>
        <v/>
      </c>
      <c r="C8" s="6">
        <f>IF(C$5&lt;1,"n/a",MIN(Data!$C$2:$C$501))</f>
        <v/>
      </c>
    </row>
    <row r="9">
      <c r="A9" s="4" t="inlineStr">
        <is>
          <t>Maximum</t>
        </is>
      </c>
      <c r="B9" s="6">
        <f>IF(B$5&lt;1,"n/a",MAX(Data!$B$2:$B$501))</f>
        <v/>
      </c>
      <c r="C9" s="6">
        <f>IF(C$5&lt;1,"n/a",MAX(Data!$C$2:$C$501))</f>
        <v/>
      </c>
    </row>
    <row r="10">
      <c r="A10" s="4" t="inlineStr">
        <is>
          <t>Standard Deviation (sample)</t>
        </is>
      </c>
      <c r="B10" s="6">
        <f>IF(B$5&lt;2,"n/a",_xlfn.STDEV.S(Data!$B$2:$B$501))</f>
        <v/>
      </c>
      <c r="C10" s="6">
        <f>IF(C$5&lt;2,"n/a",_xlfn.STDEV.S(Data!$C$2:$C$501))</f>
        <v/>
      </c>
    </row>
    <row r="11">
      <c r="A11" s="4" t="inlineStr">
        <is>
          <t>Variance (sample)</t>
        </is>
      </c>
      <c r="B11" s="6">
        <f>IF(B$5&lt;2,"n/a",_xlfn.VAR.S(Data!$B$2:$B$501))</f>
        <v/>
      </c>
      <c r="C11" s="6">
        <f>IF(C$5&lt;2,"n/a",_xlfn.VAR.S(Data!$C$2:$C$501))</f>
        <v/>
      </c>
    </row>
    <row r="13">
      <c r="A13" s="7" t="inlineStr">
        <is>
          <t>Standard deviation and variance use the sample formulas (STDEV.S, VAR.S) and need n ≥ 2.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19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22" customWidth="1" min="3" max="3"/>
    <col width="18" customWidth="1" min="4" max="4"/>
    <col width="14" customWidth="1" min="5" max="5"/>
  </cols>
  <sheetData>
    <row r="1">
      <c r="A1" s="2" t="inlineStr">
        <is>
          <t>Correlation and Regression</t>
        </is>
      </c>
    </row>
    <row r="2">
      <c r="A2" s="3" t="inlineStr">
        <is>
          <t>X = Screen Time (hours/day), Y = Sleep (hours/night). Model: Sleep = a + b(Screen Time).</t>
        </is>
      </c>
    </row>
    <row r="3">
      <c r="A3" s="1" t="inlineStr">
        <is>
          <t>Measure</t>
        </is>
      </c>
      <c r="B3" s="1" t="inlineStr">
        <is>
          <t>Value</t>
        </is>
      </c>
    </row>
    <row r="4">
      <c r="A4" s="4" t="inlineStr">
        <is>
          <t>Valid pairs (n)</t>
        </is>
      </c>
      <c r="B4" s="5">
        <f>SUMPRODUCT(--ISNUMBER(Data!$B$2:$B$501),--ISNUMBER(Data!$C$2:$C$501))</f>
        <v/>
      </c>
    </row>
    <row r="5">
      <c r="A5" s="4" t="inlineStr">
        <is>
          <t>Pearson Correlation (r)</t>
        </is>
      </c>
      <c r="B5" s="8">
        <f>IF(B4&lt;3,"n/a (need ≥ 3 pairs)",IFERROR(CORREL(Data!$B$2:$B$501,Data!$C$2:$C$501),"n/a (no variation)"))</f>
        <v/>
      </c>
    </row>
    <row r="6">
      <c r="A6" s="4" t="inlineStr">
        <is>
          <t>R²</t>
        </is>
      </c>
      <c r="B6" s="8">
        <f>IF(ISNUMBER(B5),RSQ(Data!$C$2:$C$501,Data!$B$2:$B$501),"n/a")</f>
        <v/>
      </c>
    </row>
    <row r="7">
      <c r="A7" s="4" t="inlineStr">
        <is>
          <t>Slope (b)</t>
        </is>
      </c>
      <c r="B7" s="8">
        <f>IF(ISNUMBER(B5),SLOPE(Data!$C$2:$C$501,Data!$B$2:$B$501),"n/a")</f>
        <v/>
      </c>
    </row>
    <row r="8">
      <c r="A8" s="4" t="inlineStr">
        <is>
          <t>Intercept (a)</t>
        </is>
      </c>
      <c r="B8" s="8">
        <f>IF(ISNUMBER(B5),INTERCEPT(Data!$C$2:$C$501,Data!$B$2:$B$501),"n/a")</f>
        <v/>
      </c>
    </row>
    <row r="9">
      <c r="A9" s="4" t="inlineStr">
        <is>
          <t>Regression equation</t>
        </is>
      </c>
      <c r="B9" s="9">
        <f>IF(ISNUMBER(B5),"Sleep = "&amp;TEXT(B8,"0.00")&amp;IF(B7&lt;0," - "," + ")&amp;TEXT(ABS(B7),"0.00")&amp;" × Screen Time","n/a")</f>
        <v/>
      </c>
    </row>
    <row r="10">
      <c r="A10" s="4" t="inlineStr">
        <is>
          <t>Strength and direction</t>
        </is>
      </c>
      <c r="B10" s="9">
        <f>IF(ISNUMBER(B5),IF(ABS(B5)&lt;0.1,"negligible",IF(ABS(B5)&lt;0.3,"weak "&amp;IF(B5&gt;0,"positive","negative"),IF(ABS(B5)&lt;0.5,"moderate "&amp;IF(B5&gt;0,"positive","negative"),"strong "&amp;IF(B5&gt;0,"positive","negative")))),"n/a")</f>
        <v/>
      </c>
    </row>
    <row r="11">
      <c r="A11" s="7" t="inlineStr">
        <is>
          <t>Strength labels use common rule-of-thumb cut-offs: |r| &lt; 0.1 negligible, &lt; 0.3 weak, &lt; 0.5 moderate, otherwise strong.</t>
        </is>
      </c>
    </row>
    <row r="13">
      <c r="A13" s="4" t="inlineStr">
        <is>
          <t>What does r mean?</t>
        </is>
      </c>
    </row>
    <row r="14">
      <c r="A14" s="10" t="inlineStr">
        <is>
          <t>r close to +1 = strong positive relationship (more screen time goes with more sleep)</t>
        </is>
      </c>
    </row>
    <row r="15">
      <c r="A15" s="10" t="inlineStr">
        <is>
          <t>r close to -1 = strong negative relationship (more screen time goes with less sleep)</t>
        </is>
      </c>
    </row>
    <row r="16">
      <c r="A16" s="10" t="inlineStr">
        <is>
          <t>r close to 0 = weak or no linear relationship</t>
        </is>
      </c>
    </row>
    <row r="18">
      <c r="A18" s="4" t="inlineStr">
        <is>
          <t>Predicted sleep for each observation (Predicted = a + b × Screen Time; Residual = Sleep − Predicted)</t>
        </is>
      </c>
    </row>
    <row r="19">
      <c r="A19" s="1" t="inlineStr">
        <is>
          <t>Student</t>
        </is>
      </c>
      <c r="B19" s="1" t="inlineStr">
        <is>
          <t>Screen Time (hours/day)</t>
        </is>
      </c>
      <c r="C19" s="1" t="inlineStr">
        <is>
          <t>Sleep (hours/night)</t>
        </is>
      </c>
      <c r="D19" s="1" t="inlineStr">
        <is>
          <t>Predicted Sleep</t>
        </is>
      </c>
      <c r="E19" s="1" t="inlineStr">
        <is>
          <t>Residual</t>
        </is>
      </c>
    </row>
    <row r="20">
      <c r="A20" s="10">
        <f>IF(Data!A2="","",Data!A2)</f>
        <v/>
      </c>
      <c r="B20" s="10">
        <f>IF(Data!B2="","",Data!B2)</f>
        <v/>
      </c>
      <c r="C20" s="10">
        <f>IF(Data!C2="","",Data!C2)</f>
        <v/>
      </c>
      <c r="D20" s="11">
        <f>IF(AND(ISNUMBER(B20),ISNUMBER(C20),ISNUMBER($B$7),ISNUMBER($B$8)),$B$8+$B$7*B20,"")</f>
        <v/>
      </c>
      <c r="E20" s="11">
        <f>IF(ISNUMBER(D20),C20-D20,"")</f>
        <v/>
      </c>
    </row>
    <row r="21">
      <c r="A21" s="10">
        <f>IF(Data!A3="","",Data!A3)</f>
        <v/>
      </c>
      <c r="B21" s="10">
        <f>IF(Data!B3="","",Data!B3)</f>
        <v/>
      </c>
      <c r="C21" s="10">
        <f>IF(Data!C3="","",Data!C3)</f>
        <v/>
      </c>
      <c r="D21" s="11">
        <f>IF(AND(ISNUMBER(B21),ISNUMBER(C21),ISNUMBER($B$7),ISNUMBER($B$8)),$B$8+$B$7*B21,"")</f>
        <v/>
      </c>
      <c r="E21" s="11">
        <f>IF(ISNUMBER(D21),C21-D21,"")</f>
        <v/>
      </c>
    </row>
    <row r="22">
      <c r="A22" s="10">
        <f>IF(Data!A4="","",Data!A4)</f>
        <v/>
      </c>
      <c r="B22" s="10">
        <f>IF(Data!B4="","",Data!B4)</f>
        <v/>
      </c>
      <c r="C22" s="10">
        <f>IF(Data!C4="","",Data!C4)</f>
        <v/>
      </c>
      <c r="D22" s="11">
        <f>IF(AND(ISNUMBER(B22),ISNUMBER(C22),ISNUMBER($B$7),ISNUMBER($B$8)),$B$8+$B$7*B22,"")</f>
        <v/>
      </c>
      <c r="E22" s="11">
        <f>IF(ISNUMBER(D22),C22-D22,"")</f>
        <v/>
      </c>
    </row>
    <row r="23">
      <c r="A23" s="10">
        <f>IF(Data!A5="","",Data!A5)</f>
        <v/>
      </c>
      <c r="B23" s="10">
        <f>IF(Data!B5="","",Data!B5)</f>
        <v/>
      </c>
      <c r="C23" s="10">
        <f>IF(Data!C5="","",Data!C5)</f>
        <v/>
      </c>
      <c r="D23" s="11">
        <f>IF(AND(ISNUMBER(B23),ISNUMBER(C23),ISNUMBER($B$7),ISNUMBER($B$8)),$B$8+$B$7*B23,"")</f>
        <v/>
      </c>
      <c r="E23" s="11">
        <f>IF(ISNUMBER(D23),C23-D23,"")</f>
        <v/>
      </c>
    </row>
    <row r="24">
      <c r="A24" s="10">
        <f>IF(Data!A6="","",Data!A6)</f>
        <v/>
      </c>
      <c r="B24" s="10">
        <f>IF(Data!B6="","",Data!B6)</f>
        <v/>
      </c>
      <c r="C24" s="10">
        <f>IF(Data!C6="","",Data!C6)</f>
        <v/>
      </c>
      <c r="D24" s="11">
        <f>IF(AND(ISNUMBER(B24),ISNUMBER(C24),ISNUMBER($B$7),ISNUMBER($B$8)),$B$8+$B$7*B24,"")</f>
        <v/>
      </c>
      <c r="E24" s="11">
        <f>IF(ISNUMBER(D24),C24-D24,"")</f>
        <v/>
      </c>
    </row>
    <row r="25">
      <c r="A25" s="10">
        <f>IF(Data!A7="","",Data!A7)</f>
        <v/>
      </c>
      <c r="B25" s="10">
        <f>IF(Data!B7="","",Data!B7)</f>
        <v/>
      </c>
      <c r="C25" s="10">
        <f>IF(Data!C7="","",Data!C7)</f>
        <v/>
      </c>
      <c r="D25" s="11">
        <f>IF(AND(ISNUMBER(B25),ISNUMBER(C25),ISNUMBER($B$7),ISNUMBER($B$8)),$B$8+$B$7*B25,"")</f>
        <v/>
      </c>
      <c r="E25" s="11">
        <f>IF(ISNUMBER(D25),C25-D25,"")</f>
        <v/>
      </c>
    </row>
    <row r="26">
      <c r="A26" s="10">
        <f>IF(Data!A8="","",Data!A8)</f>
        <v/>
      </c>
      <c r="B26" s="10">
        <f>IF(Data!B8="","",Data!B8)</f>
        <v/>
      </c>
      <c r="C26" s="10">
        <f>IF(Data!C8="","",Data!C8)</f>
        <v/>
      </c>
      <c r="D26" s="11">
        <f>IF(AND(ISNUMBER(B26),ISNUMBER(C26),ISNUMBER($B$7),ISNUMBER($B$8)),$B$8+$B$7*B26,"")</f>
        <v/>
      </c>
      <c r="E26" s="11">
        <f>IF(ISNUMBER(D26),C26-D26,"")</f>
        <v/>
      </c>
    </row>
    <row r="27">
      <c r="A27" s="10">
        <f>IF(Data!A9="","",Data!A9)</f>
        <v/>
      </c>
      <c r="B27" s="10">
        <f>IF(Data!B9="","",Data!B9)</f>
        <v/>
      </c>
      <c r="C27" s="10">
        <f>IF(Data!C9="","",Data!C9)</f>
        <v/>
      </c>
      <c r="D27" s="11">
        <f>IF(AND(ISNUMBER(B27),ISNUMBER(C27),ISNUMBER($B$7),ISNUMBER($B$8)),$B$8+$B$7*B27,"")</f>
        <v/>
      </c>
      <c r="E27" s="11">
        <f>IF(ISNUMBER(D27),C27-D27,"")</f>
        <v/>
      </c>
    </row>
    <row r="28">
      <c r="A28" s="10">
        <f>IF(Data!A10="","",Data!A10)</f>
        <v/>
      </c>
      <c r="B28" s="10">
        <f>IF(Data!B10="","",Data!B10)</f>
        <v/>
      </c>
      <c r="C28" s="10">
        <f>IF(Data!C10="","",Data!C10)</f>
        <v/>
      </c>
      <c r="D28" s="11">
        <f>IF(AND(ISNUMBER(B28),ISNUMBER(C28),ISNUMBER($B$7),ISNUMBER($B$8)),$B$8+$B$7*B28,"")</f>
        <v/>
      </c>
      <c r="E28" s="11">
        <f>IF(ISNUMBER(D28),C28-D28,"")</f>
        <v/>
      </c>
    </row>
    <row r="29">
      <c r="A29" s="10">
        <f>IF(Data!A11="","",Data!A11)</f>
        <v/>
      </c>
      <c r="B29" s="10">
        <f>IF(Data!B11="","",Data!B11)</f>
        <v/>
      </c>
      <c r="C29" s="10">
        <f>IF(Data!C11="","",Data!C11)</f>
        <v/>
      </c>
      <c r="D29" s="11">
        <f>IF(AND(ISNUMBER(B29),ISNUMBER(C29),ISNUMBER($B$7),ISNUMBER($B$8)),$B$8+$B$7*B29,"")</f>
        <v/>
      </c>
      <c r="E29" s="11">
        <f>IF(ISNUMBER(D29),C29-D29,"")</f>
        <v/>
      </c>
    </row>
    <row r="30">
      <c r="A30" s="10">
        <f>IF(Data!A12="","",Data!A12)</f>
        <v/>
      </c>
      <c r="B30" s="10">
        <f>IF(Data!B12="","",Data!B12)</f>
        <v/>
      </c>
      <c r="C30" s="10">
        <f>IF(Data!C12="","",Data!C12)</f>
        <v/>
      </c>
      <c r="D30" s="11">
        <f>IF(AND(ISNUMBER(B30),ISNUMBER(C30),ISNUMBER($B$7),ISNUMBER($B$8)),$B$8+$B$7*B30,"")</f>
        <v/>
      </c>
      <c r="E30" s="11">
        <f>IF(ISNUMBER(D30),C30-D30,"")</f>
        <v/>
      </c>
    </row>
    <row r="31">
      <c r="A31" s="10">
        <f>IF(Data!A13="","",Data!A13)</f>
        <v/>
      </c>
      <c r="B31" s="10">
        <f>IF(Data!B13="","",Data!B13)</f>
        <v/>
      </c>
      <c r="C31" s="10">
        <f>IF(Data!C13="","",Data!C13)</f>
        <v/>
      </c>
      <c r="D31" s="11">
        <f>IF(AND(ISNUMBER(B31),ISNUMBER(C31),ISNUMBER($B$7),ISNUMBER($B$8)),$B$8+$B$7*B31,"")</f>
        <v/>
      </c>
      <c r="E31" s="11">
        <f>IF(ISNUMBER(D31),C31-D31,"")</f>
        <v/>
      </c>
    </row>
    <row r="32">
      <c r="A32" s="10">
        <f>IF(Data!A14="","",Data!A14)</f>
        <v/>
      </c>
      <c r="B32" s="10">
        <f>IF(Data!B14="","",Data!B14)</f>
        <v/>
      </c>
      <c r="C32" s="10">
        <f>IF(Data!C14="","",Data!C14)</f>
        <v/>
      </c>
      <c r="D32" s="11">
        <f>IF(AND(ISNUMBER(B32),ISNUMBER(C32),ISNUMBER($B$7),ISNUMBER($B$8)),$B$8+$B$7*B32,"")</f>
        <v/>
      </c>
      <c r="E32" s="11">
        <f>IF(ISNUMBER(D32),C32-D32,"")</f>
        <v/>
      </c>
    </row>
    <row r="33">
      <c r="A33" s="10">
        <f>IF(Data!A15="","",Data!A15)</f>
        <v/>
      </c>
      <c r="B33" s="10">
        <f>IF(Data!B15="","",Data!B15)</f>
        <v/>
      </c>
      <c r="C33" s="10">
        <f>IF(Data!C15="","",Data!C15)</f>
        <v/>
      </c>
      <c r="D33" s="11">
        <f>IF(AND(ISNUMBER(B33),ISNUMBER(C33),ISNUMBER($B$7),ISNUMBER($B$8)),$B$8+$B$7*B33,"")</f>
        <v/>
      </c>
      <c r="E33" s="11">
        <f>IF(ISNUMBER(D33),C33-D33,"")</f>
        <v/>
      </c>
    </row>
    <row r="34">
      <c r="A34" s="10">
        <f>IF(Data!A16="","",Data!A16)</f>
        <v/>
      </c>
      <c r="B34" s="10">
        <f>IF(Data!B16="","",Data!B16)</f>
        <v/>
      </c>
      <c r="C34" s="10">
        <f>IF(Data!C16="","",Data!C16)</f>
        <v/>
      </c>
      <c r="D34" s="11">
        <f>IF(AND(ISNUMBER(B34),ISNUMBER(C34),ISNUMBER($B$7),ISNUMBER($B$8)),$B$8+$B$7*B34,"")</f>
        <v/>
      </c>
      <c r="E34" s="11">
        <f>IF(ISNUMBER(D34),C34-D34,"")</f>
        <v/>
      </c>
    </row>
    <row r="35">
      <c r="A35" s="10">
        <f>IF(Data!A17="","",Data!A17)</f>
        <v/>
      </c>
      <c r="B35" s="10">
        <f>IF(Data!B17="","",Data!B17)</f>
        <v/>
      </c>
      <c r="C35" s="10">
        <f>IF(Data!C17="","",Data!C17)</f>
        <v/>
      </c>
      <c r="D35" s="11">
        <f>IF(AND(ISNUMBER(B35),ISNUMBER(C35),ISNUMBER($B$7),ISNUMBER($B$8)),$B$8+$B$7*B35,"")</f>
        <v/>
      </c>
      <c r="E35" s="11">
        <f>IF(ISNUMBER(D35),C35-D35,"")</f>
        <v/>
      </c>
    </row>
    <row r="36">
      <c r="A36" s="10">
        <f>IF(Data!A18="","",Data!A18)</f>
        <v/>
      </c>
      <c r="B36" s="10">
        <f>IF(Data!B18="","",Data!B18)</f>
        <v/>
      </c>
      <c r="C36" s="10">
        <f>IF(Data!C18="","",Data!C18)</f>
        <v/>
      </c>
      <c r="D36" s="11">
        <f>IF(AND(ISNUMBER(B36),ISNUMBER(C36),ISNUMBER($B$7),ISNUMBER($B$8)),$B$8+$B$7*B36,"")</f>
        <v/>
      </c>
      <c r="E36" s="11">
        <f>IF(ISNUMBER(D36),C36-D36,"")</f>
        <v/>
      </c>
    </row>
    <row r="37">
      <c r="A37" s="10">
        <f>IF(Data!A19="","",Data!A19)</f>
        <v/>
      </c>
      <c r="B37" s="10">
        <f>IF(Data!B19="","",Data!B19)</f>
        <v/>
      </c>
      <c r="C37" s="10">
        <f>IF(Data!C19="","",Data!C19)</f>
        <v/>
      </c>
      <c r="D37" s="11">
        <f>IF(AND(ISNUMBER(B37),ISNUMBER(C37),ISNUMBER($B$7),ISNUMBER($B$8)),$B$8+$B$7*B37,"")</f>
        <v/>
      </c>
      <c r="E37" s="11">
        <f>IF(ISNUMBER(D37),C37-D37,"")</f>
        <v/>
      </c>
    </row>
    <row r="38">
      <c r="A38" s="10">
        <f>IF(Data!A20="","",Data!A20)</f>
        <v/>
      </c>
      <c r="B38" s="10">
        <f>IF(Data!B20="","",Data!B20)</f>
        <v/>
      </c>
      <c r="C38" s="10">
        <f>IF(Data!C20="","",Data!C20)</f>
        <v/>
      </c>
      <c r="D38" s="11">
        <f>IF(AND(ISNUMBER(B38),ISNUMBER(C38),ISNUMBER($B$7),ISNUMBER($B$8)),$B$8+$B$7*B38,"")</f>
        <v/>
      </c>
      <c r="E38" s="11">
        <f>IF(ISNUMBER(D38),C38-D38,"")</f>
        <v/>
      </c>
    </row>
    <row r="39">
      <c r="A39" s="10">
        <f>IF(Data!A21="","",Data!A21)</f>
        <v/>
      </c>
      <c r="B39" s="10">
        <f>IF(Data!B21="","",Data!B21)</f>
        <v/>
      </c>
      <c r="C39" s="10">
        <f>IF(Data!C21="","",Data!C21)</f>
        <v/>
      </c>
      <c r="D39" s="11">
        <f>IF(AND(ISNUMBER(B39),ISNUMBER(C39),ISNUMBER($B$7),ISNUMBER($B$8)),$B$8+$B$7*B39,"")</f>
        <v/>
      </c>
      <c r="E39" s="11">
        <f>IF(ISNUMBER(D39),C39-D39,"")</f>
        <v/>
      </c>
    </row>
    <row r="40">
      <c r="A40" s="10">
        <f>IF(Data!A22="","",Data!A22)</f>
        <v/>
      </c>
      <c r="B40" s="10">
        <f>IF(Data!B22="","",Data!B22)</f>
        <v/>
      </c>
      <c r="C40" s="10">
        <f>IF(Data!C22="","",Data!C22)</f>
        <v/>
      </c>
      <c r="D40" s="11">
        <f>IF(AND(ISNUMBER(B40),ISNUMBER(C40),ISNUMBER($B$7),ISNUMBER($B$8)),$B$8+$B$7*B40,"")</f>
        <v/>
      </c>
      <c r="E40" s="11">
        <f>IF(ISNUMBER(D40),C40-D40,"")</f>
        <v/>
      </c>
    </row>
    <row r="41">
      <c r="A41" s="10">
        <f>IF(Data!A23="","",Data!A23)</f>
        <v/>
      </c>
      <c r="B41" s="10">
        <f>IF(Data!B23="","",Data!B23)</f>
        <v/>
      </c>
      <c r="C41" s="10">
        <f>IF(Data!C23="","",Data!C23)</f>
        <v/>
      </c>
      <c r="D41" s="11">
        <f>IF(AND(ISNUMBER(B41),ISNUMBER(C41),ISNUMBER($B$7),ISNUMBER($B$8)),$B$8+$B$7*B41,"")</f>
        <v/>
      </c>
      <c r="E41" s="11">
        <f>IF(ISNUMBER(D41),C41-D41,"")</f>
        <v/>
      </c>
    </row>
    <row r="42">
      <c r="A42" s="10">
        <f>IF(Data!A24="","",Data!A24)</f>
        <v/>
      </c>
      <c r="B42" s="10">
        <f>IF(Data!B24="","",Data!B24)</f>
        <v/>
      </c>
      <c r="C42" s="10">
        <f>IF(Data!C24="","",Data!C24)</f>
        <v/>
      </c>
      <c r="D42" s="11">
        <f>IF(AND(ISNUMBER(B42),ISNUMBER(C42),ISNUMBER($B$7),ISNUMBER($B$8)),$B$8+$B$7*B42,"")</f>
        <v/>
      </c>
      <c r="E42" s="11">
        <f>IF(ISNUMBER(D42),C42-D42,"")</f>
        <v/>
      </c>
    </row>
    <row r="43">
      <c r="A43" s="10">
        <f>IF(Data!A25="","",Data!A25)</f>
        <v/>
      </c>
      <c r="B43" s="10">
        <f>IF(Data!B25="","",Data!B25)</f>
        <v/>
      </c>
      <c r="C43" s="10">
        <f>IF(Data!C25="","",Data!C25)</f>
        <v/>
      </c>
      <c r="D43" s="11">
        <f>IF(AND(ISNUMBER(B43),ISNUMBER(C43),ISNUMBER($B$7),ISNUMBER($B$8)),$B$8+$B$7*B43,"")</f>
        <v/>
      </c>
      <c r="E43" s="11">
        <f>IF(ISNUMBER(D43),C43-D43,"")</f>
        <v/>
      </c>
    </row>
    <row r="44">
      <c r="A44" s="10">
        <f>IF(Data!A26="","",Data!A26)</f>
        <v/>
      </c>
      <c r="B44" s="10">
        <f>IF(Data!B26="","",Data!B26)</f>
        <v/>
      </c>
      <c r="C44" s="10">
        <f>IF(Data!C26="","",Data!C26)</f>
        <v/>
      </c>
      <c r="D44" s="11">
        <f>IF(AND(ISNUMBER(B44),ISNUMBER(C44),ISNUMBER($B$7),ISNUMBER($B$8)),$B$8+$B$7*B44,"")</f>
        <v/>
      </c>
      <c r="E44" s="11">
        <f>IF(ISNUMBER(D44),C44-D44,"")</f>
        <v/>
      </c>
    </row>
    <row r="45">
      <c r="A45" s="10">
        <f>IF(Data!A27="","",Data!A27)</f>
        <v/>
      </c>
      <c r="B45" s="10">
        <f>IF(Data!B27="","",Data!B27)</f>
        <v/>
      </c>
      <c r="C45" s="10">
        <f>IF(Data!C27="","",Data!C27)</f>
        <v/>
      </c>
      <c r="D45" s="11">
        <f>IF(AND(ISNUMBER(B45),ISNUMBER(C45),ISNUMBER($B$7),ISNUMBER($B$8)),$B$8+$B$7*B45,"")</f>
        <v/>
      </c>
      <c r="E45" s="11">
        <f>IF(ISNUMBER(D45),C45-D45,"")</f>
        <v/>
      </c>
    </row>
    <row r="46">
      <c r="A46" s="10">
        <f>IF(Data!A28="","",Data!A28)</f>
        <v/>
      </c>
      <c r="B46" s="10">
        <f>IF(Data!B28="","",Data!B28)</f>
        <v/>
      </c>
      <c r="C46" s="10">
        <f>IF(Data!C28="","",Data!C28)</f>
        <v/>
      </c>
      <c r="D46" s="11">
        <f>IF(AND(ISNUMBER(B46),ISNUMBER(C46),ISNUMBER($B$7),ISNUMBER($B$8)),$B$8+$B$7*B46,"")</f>
        <v/>
      </c>
      <c r="E46" s="11">
        <f>IF(ISNUMBER(D46),C46-D46,"")</f>
        <v/>
      </c>
    </row>
    <row r="47">
      <c r="A47" s="10">
        <f>IF(Data!A29="","",Data!A29)</f>
        <v/>
      </c>
      <c r="B47" s="10">
        <f>IF(Data!B29="","",Data!B29)</f>
        <v/>
      </c>
      <c r="C47" s="10">
        <f>IF(Data!C29="","",Data!C29)</f>
        <v/>
      </c>
      <c r="D47" s="11">
        <f>IF(AND(ISNUMBER(B47),ISNUMBER(C47),ISNUMBER($B$7),ISNUMBER($B$8)),$B$8+$B$7*B47,"")</f>
        <v/>
      </c>
      <c r="E47" s="11">
        <f>IF(ISNUMBER(D47),C47-D47,"")</f>
        <v/>
      </c>
    </row>
    <row r="48">
      <c r="A48" s="10">
        <f>IF(Data!A30="","",Data!A30)</f>
        <v/>
      </c>
      <c r="B48" s="10">
        <f>IF(Data!B30="","",Data!B30)</f>
        <v/>
      </c>
      <c r="C48" s="10">
        <f>IF(Data!C30="","",Data!C30)</f>
        <v/>
      </c>
      <c r="D48" s="11">
        <f>IF(AND(ISNUMBER(B48),ISNUMBER(C48),ISNUMBER($B$7),ISNUMBER($B$8)),$B$8+$B$7*B48,"")</f>
        <v/>
      </c>
      <c r="E48" s="11">
        <f>IF(ISNUMBER(D48),C48-D48,"")</f>
        <v/>
      </c>
    </row>
    <row r="49">
      <c r="A49" s="10">
        <f>IF(Data!A31="","",Data!A31)</f>
        <v/>
      </c>
      <c r="B49" s="10">
        <f>IF(Data!B31="","",Data!B31)</f>
        <v/>
      </c>
      <c r="C49" s="10">
        <f>IF(Data!C31="","",Data!C31)</f>
        <v/>
      </c>
      <c r="D49" s="11">
        <f>IF(AND(ISNUMBER(B49),ISNUMBER(C49),ISNUMBER($B$7),ISNUMBER($B$8)),$B$8+$B$7*B49,"")</f>
        <v/>
      </c>
      <c r="E49" s="11">
        <f>IF(ISNUMBER(D49),C49-D49,"")</f>
        <v/>
      </c>
    </row>
    <row r="50">
      <c r="A50" s="10">
        <f>IF(Data!A32="","",Data!A32)</f>
        <v/>
      </c>
      <c r="B50" s="10">
        <f>IF(Data!B32="","",Data!B32)</f>
        <v/>
      </c>
      <c r="C50" s="10">
        <f>IF(Data!C32="","",Data!C32)</f>
        <v/>
      </c>
      <c r="D50" s="11">
        <f>IF(AND(ISNUMBER(B50),ISNUMBER(C50),ISNUMBER($B$7),ISNUMBER($B$8)),$B$8+$B$7*B50,"")</f>
        <v/>
      </c>
      <c r="E50" s="11">
        <f>IF(ISNUMBER(D50),C50-D50,"")</f>
        <v/>
      </c>
    </row>
    <row r="51">
      <c r="A51" s="10">
        <f>IF(Data!A33="","",Data!A33)</f>
        <v/>
      </c>
      <c r="B51" s="10">
        <f>IF(Data!B33="","",Data!B33)</f>
        <v/>
      </c>
      <c r="C51" s="10">
        <f>IF(Data!C33="","",Data!C33)</f>
        <v/>
      </c>
      <c r="D51" s="11">
        <f>IF(AND(ISNUMBER(B51),ISNUMBER(C51),ISNUMBER($B$7),ISNUMBER($B$8)),$B$8+$B$7*B51,"")</f>
        <v/>
      </c>
      <c r="E51" s="11">
        <f>IF(ISNUMBER(D51),C51-D51,"")</f>
        <v/>
      </c>
    </row>
    <row r="52">
      <c r="A52" s="10">
        <f>IF(Data!A34="","",Data!A34)</f>
        <v/>
      </c>
      <c r="B52" s="10">
        <f>IF(Data!B34="","",Data!B34)</f>
        <v/>
      </c>
      <c r="C52" s="10">
        <f>IF(Data!C34="","",Data!C34)</f>
        <v/>
      </c>
      <c r="D52" s="11">
        <f>IF(AND(ISNUMBER(B52),ISNUMBER(C52),ISNUMBER($B$7),ISNUMBER($B$8)),$B$8+$B$7*B52,"")</f>
        <v/>
      </c>
      <c r="E52" s="11">
        <f>IF(ISNUMBER(D52),C52-D52,"")</f>
        <v/>
      </c>
    </row>
    <row r="53">
      <c r="A53" s="10">
        <f>IF(Data!A35="","",Data!A35)</f>
        <v/>
      </c>
      <c r="B53" s="10">
        <f>IF(Data!B35="","",Data!B35)</f>
        <v/>
      </c>
      <c r="C53" s="10">
        <f>IF(Data!C35="","",Data!C35)</f>
        <v/>
      </c>
      <c r="D53" s="11">
        <f>IF(AND(ISNUMBER(B53),ISNUMBER(C53),ISNUMBER($B$7),ISNUMBER($B$8)),$B$8+$B$7*B53,"")</f>
        <v/>
      </c>
      <c r="E53" s="11">
        <f>IF(ISNUMBER(D53),C53-D53,"")</f>
        <v/>
      </c>
    </row>
    <row r="54">
      <c r="A54" s="10">
        <f>IF(Data!A36="","",Data!A36)</f>
        <v/>
      </c>
      <c r="B54" s="10">
        <f>IF(Data!B36="","",Data!B36)</f>
        <v/>
      </c>
      <c r="C54" s="10">
        <f>IF(Data!C36="","",Data!C36)</f>
        <v/>
      </c>
      <c r="D54" s="11">
        <f>IF(AND(ISNUMBER(B54),ISNUMBER(C54),ISNUMBER($B$7),ISNUMBER($B$8)),$B$8+$B$7*B54,"")</f>
        <v/>
      </c>
      <c r="E54" s="11">
        <f>IF(ISNUMBER(D54),C54-D54,"")</f>
        <v/>
      </c>
    </row>
    <row r="55">
      <c r="A55" s="10">
        <f>IF(Data!A37="","",Data!A37)</f>
        <v/>
      </c>
      <c r="B55" s="10">
        <f>IF(Data!B37="","",Data!B37)</f>
        <v/>
      </c>
      <c r="C55" s="10">
        <f>IF(Data!C37="","",Data!C37)</f>
        <v/>
      </c>
      <c r="D55" s="11">
        <f>IF(AND(ISNUMBER(B55),ISNUMBER(C55),ISNUMBER($B$7),ISNUMBER($B$8)),$B$8+$B$7*B55,"")</f>
        <v/>
      </c>
      <c r="E55" s="11">
        <f>IF(ISNUMBER(D55),C55-D55,"")</f>
        <v/>
      </c>
    </row>
    <row r="56">
      <c r="A56" s="10">
        <f>IF(Data!A38="","",Data!A38)</f>
        <v/>
      </c>
      <c r="B56" s="10">
        <f>IF(Data!B38="","",Data!B38)</f>
        <v/>
      </c>
      <c r="C56" s="10">
        <f>IF(Data!C38="","",Data!C38)</f>
        <v/>
      </c>
      <c r="D56" s="11">
        <f>IF(AND(ISNUMBER(B56),ISNUMBER(C56),ISNUMBER($B$7),ISNUMBER($B$8)),$B$8+$B$7*B56,"")</f>
        <v/>
      </c>
      <c r="E56" s="11">
        <f>IF(ISNUMBER(D56),C56-D56,"")</f>
        <v/>
      </c>
    </row>
    <row r="57">
      <c r="A57" s="10">
        <f>IF(Data!A39="","",Data!A39)</f>
        <v/>
      </c>
      <c r="B57" s="10">
        <f>IF(Data!B39="","",Data!B39)</f>
        <v/>
      </c>
      <c r="C57" s="10">
        <f>IF(Data!C39="","",Data!C39)</f>
        <v/>
      </c>
      <c r="D57" s="11">
        <f>IF(AND(ISNUMBER(B57),ISNUMBER(C57),ISNUMBER($B$7),ISNUMBER($B$8)),$B$8+$B$7*B57,"")</f>
        <v/>
      </c>
      <c r="E57" s="11">
        <f>IF(ISNUMBER(D57),C57-D57,"")</f>
        <v/>
      </c>
    </row>
    <row r="58">
      <c r="A58" s="10">
        <f>IF(Data!A40="","",Data!A40)</f>
        <v/>
      </c>
      <c r="B58" s="10">
        <f>IF(Data!B40="","",Data!B40)</f>
        <v/>
      </c>
      <c r="C58" s="10">
        <f>IF(Data!C40="","",Data!C40)</f>
        <v/>
      </c>
      <c r="D58" s="11">
        <f>IF(AND(ISNUMBER(B58),ISNUMBER(C58),ISNUMBER($B$7),ISNUMBER($B$8)),$B$8+$B$7*B58,"")</f>
        <v/>
      </c>
      <c r="E58" s="11">
        <f>IF(ISNUMBER(D58),C58-D58,"")</f>
        <v/>
      </c>
    </row>
    <row r="59">
      <c r="A59" s="10">
        <f>IF(Data!A41="","",Data!A41)</f>
        <v/>
      </c>
      <c r="B59" s="10">
        <f>IF(Data!B41="","",Data!B41)</f>
        <v/>
      </c>
      <c r="C59" s="10">
        <f>IF(Data!C41="","",Data!C41)</f>
        <v/>
      </c>
      <c r="D59" s="11">
        <f>IF(AND(ISNUMBER(B59),ISNUMBER(C59),ISNUMBER($B$7),ISNUMBER($B$8)),$B$8+$B$7*B59,"")</f>
        <v/>
      </c>
      <c r="E59" s="11">
        <f>IF(ISNUMBER(D59),C59-D59,"")</f>
        <v/>
      </c>
    </row>
    <row r="60">
      <c r="A60" s="10">
        <f>IF(Data!A42="","",Data!A42)</f>
        <v/>
      </c>
      <c r="B60" s="10">
        <f>IF(Data!B42="","",Data!B42)</f>
        <v/>
      </c>
      <c r="C60" s="10">
        <f>IF(Data!C42="","",Data!C42)</f>
        <v/>
      </c>
      <c r="D60" s="11">
        <f>IF(AND(ISNUMBER(B60),ISNUMBER(C60),ISNUMBER($B$7),ISNUMBER($B$8)),$B$8+$B$7*B60,"")</f>
        <v/>
      </c>
      <c r="E60" s="11">
        <f>IF(ISNUMBER(D60),C60-D60,"")</f>
        <v/>
      </c>
    </row>
    <row r="61">
      <c r="A61" s="10">
        <f>IF(Data!A43="","",Data!A43)</f>
        <v/>
      </c>
      <c r="B61" s="10">
        <f>IF(Data!B43="","",Data!B43)</f>
        <v/>
      </c>
      <c r="C61" s="10">
        <f>IF(Data!C43="","",Data!C43)</f>
        <v/>
      </c>
      <c r="D61" s="11">
        <f>IF(AND(ISNUMBER(B61),ISNUMBER(C61),ISNUMBER($B$7),ISNUMBER($B$8)),$B$8+$B$7*B61,"")</f>
        <v/>
      </c>
      <c r="E61" s="11">
        <f>IF(ISNUMBER(D61),C61-D61,"")</f>
        <v/>
      </c>
    </row>
    <row r="62">
      <c r="A62" s="10">
        <f>IF(Data!A44="","",Data!A44)</f>
        <v/>
      </c>
      <c r="B62" s="10">
        <f>IF(Data!B44="","",Data!B44)</f>
        <v/>
      </c>
      <c r="C62" s="10">
        <f>IF(Data!C44="","",Data!C44)</f>
        <v/>
      </c>
      <c r="D62" s="11">
        <f>IF(AND(ISNUMBER(B62),ISNUMBER(C62),ISNUMBER($B$7),ISNUMBER($B$8)),$B$8+$B$7*B62,"")</f>
        <v/>
      </c>
      <c r="E62" s="11">
        <f>IF(ISNUMBER(D62),C62-D62,"")</f>
        <v/>
      </c>
    </row>
    <row r="63">
      <c r="A63" s="10">
        <f>IF(Data!A45="","",Data!A45)</f>
        <v/>
      </c>
      <c r="B63" s="10">
        <f>IF(Data!B45="","",Data!B45)</f>
        <v/>
      </c>
      <c r="C63" s="10">
        <f>IF(Data!C45="","",Data!C45)</f>
        <v/>
      </c>
      <c r="D63" s="11">
        <f>IF(AND(ISNUMBER(B63),ISNUMBER(C63),ISNUMBER($B$7),ISNUMBER($B$8)),$B$8+$B$7*B63,"")</f>
        <v/>
      </c>
      <c r="E63" s="11">
        <f>IF(ISNUMBER(D63),C63-D63,"")</f>
        <v/>
      </c>
    </row>
    <row r="64">
      <c r="A64" s="10">
        <f>IF(Data!A46="","",Data!A46)</f>
        <v/>
      </c>
      <c r="B64" s="10">
        <f>IF(Data!B46="","",Data!B46)</f>
        <v/>
      </c>
      <c r="C64" s="10">
        <f>IF(Data!C46="","",Data!C46)</f>
        <v/>
      </c>
      <c r="D64" s="11">
        <f>IF(AND(ISNUMBER(B64),ISNUMBER(C64),ISNUMBER($B$7),ISNUMBER($B$8)),$B$8+$B$7*B64,"")</f>
        <v/>
      </c>
      <c r="E64" s="11">
        <f>IF(ISNUMBER(D64),C64-D64,"")</f>
        <v/>
      </c>
    </row>
    <row r="65">
      <c r="A65" s="10">
        <f>IF(Data!A47="","",Data!A47)</f>
        <v/>
      </c>
      <c r="B65" s="10">
        <f>IF(Data!B47="","",Data!B47)</f>
        <v/>
      </c>
      <c r="C65" s="10">
        <f>IF(Data!C47="","",Data!C47)</f>
        <v/>
      </c>
      <c r="D65" s="11">
        <f>IF(AND(ISNUMBER(B65),ISNUMBER(C65),ISNUMBER($B$7),ISNUMBER($B$8)),$B$8+$B$7*B65,"")</f>
        <v/>
      </c>
      <c r="E65" s="11">
        <f>IF(ISNUMBER(D65),C65-D65,"")</f>
        <v/>
      </c>
    </row>
    <row r="66">
      <c r="A66" s="10">
        <f>IF(Data!A48="","",Data!A48)</f>
        <v/>
      </c>
      <c r="B66" s="10">
        <f>IF(Data!B48="","",Data!B48)</f>
        <v/>
      </c>
      <c r="C66" s="10">
        <f>IF(Data!C48="","",Data!C48)</f>
        <v/>
      </c>
      <c r="D66" s="11">
        <f>IF(AND(ISNUMBER(B66),ISNUMBER(C66),ISNUMBER($B$7),ISNUMBER($B$8)),$B$8+$B$7*B66,"")</f>
        <v/>
      </c>
      <c r="E66" s="11">
        <f>IF(ISNUMBER(D66),C66-D66,"")</f>
        <v/>
      </c>
    </row>
    <row r="67">
      <c r="A67" s="10">
        <f>IF(Data!A49="","",Data!A49)</f>
        <v/>
      </c>
      <c r="B67" s="10">
        <f>IF(Data!B49="","",Data!B49)</f>
        <v/>
      </c>
      <c r="C67" s="10">
        <f>IF(Data!C49="","",Data!C49)</f>
        <v/>
      </c>
      <c r="D67" s="11">
        <f>IF(AND(ISNUMBER(B67),ISNUMBER(C67),ISNUMBER($B$7),ISNUMBER($B$8)),$B$8+$B$7*B67,"")</f>
        <v/>
      </c>
      <c r="E67" s="11">
        <f>IF(ISNUMBER(D67),C67-D67,"")</f>
        <v/>
      </c>
    </row>
    <row r="68">
      <c r="A68" s="10">
        <f>IF(Data!A50="","",Data!A50)</f>
        <v/>
      </c>
      <c r="B68" s="10">
        <f>IF(Data!B50="","",Data!B50)</f>
        <v/>
      </c>
      <c r="C68" s="10">
        <f>IF(Data!C50="","",Data!C50)</f>
        <v/>
      </c>
      <c r="D68" s="11">
        <f>IF(AND(ISNUMBER(B68),ISNUMBER(C68),ISNUMBER($B$7),ISNUMBER($B$8)),$B$8+$B$7*B68,"")</f>
        <v/>
      </c>
      <c r="E68" s="11">
        <f>IF(ISNUMBER(D68),C68-D68,"")</f>
        <v/>
      </c>
    </row>
    <row r="69">
      <c r="A69" s="10">
        <f>IF(Data!A51="","",Data!A51)</f>
        <v/>
      </c>
      <c r="B69" s="10">
        <f>IF(Data!B51="","",Data!B51)</f>
        <v/>
      </c>
      <c r="C69" s="10">
        <f>IF(Data!C51="","",Data!C51)</f>
        <v/>
      </c>
      <c r="D69" s="11">
        <f>IF(AND(ISNUMBER(B69),ISNUMBER(C69),ISNUMBER($B$7),ISNUMBER($B$8)),$B$8+$B$7*B69,"")</f>
        <v/>
      </c>
      <c r="E69" s="11">
        <f>IF(ISNUMBER(D69),C69-D69,"")</f>
        <v/>
      </c>
    </row>
    <row r="70">
      <c r="A70" s="10">
        <f>IF(Data!A52="","",Data!A52)</f>
        <v/>
      </c>
      <c r="B70" s="10">
        <f>IF(Data!B52="","",Data!B52)</f>
        <v/>
      </c>
      <c r="C70" s="10">
        <f>IF(Data!C52="","",Data!C52)</f>
        <v/>
      </c>
      <c r="D70" s="11">
        <f>IF(AND(ISNUMBER(B70),ISNUMBER(C70),ISNUMBER($B$7),ISNUMBER($B$8)),$B$8+$B$7*B70,"")</f>
        <v/>
      </c>
      <c r="E70" s="11">
        <f>IF(ISNUMBER(D70),C70-D70,"")</f>
        <v/>
      </c>
    </row>
    <row r="71">
      <c r="A71" s="10">
        <f>IF(Data!A53="","",Data!A53)</f>
        <v/>
      </c>
      <c r="B71" s="10">
        <f>IF(Data!B53="","",Data!B53)</f>
        <v/>
      </c>
      <c r="C71" s="10">
        <f>IF(Data!C53="","",Data!C53)</f>
        <v/>
      </c>
      <c r="D71" s="11">
        <f>IF(AND(ISNUMBER(B71),ISNUMBER(C71),ISNUMBER($B$7),ISNUMBER($B$8)),$B$8+$B$7*B71,"")</f>
        <v/>
      </c>
      <c r="E71" s="11">
        <f>IF(ISNUMBER(D71),C71-D71,"")</f>
        <v/>
      </c>
    </row>
    <row r="72">
      <c r="A72" s="10">
        <f>IF(Data!A54="","",Data!A54)</f>
        <v/>
      </c>
      <c r="B72" s="10">
        <f>IF(Data!B54="","",Data!B54)</f>
        <v/>
      </c>
      <c r="C72" s="10">
        <f>IF(Data!C54="","",Data!C54)</f>
        <v/>
      </c>
      <c r="D72" s="11">
        <f>IF(AND(ISNUMBER(B72),ISNUMBER(C72),ISNUMBER($B$7),ISNUMBER($B$8)),$B$8+$B$7*B72,"")</f>
        <v/>
      </c>
      <c r="E72" s="11">
        <f>IF(ISNUMBER(D72),C72-D72,"")</f>
        <v/>
      </c>
    </row>
    <row r="73">
      <c r="A73" s="10">
        <f>IF(Data!A55="","",Data!A55)</f>
        <v/>
      </c>
      <c r="B73" s="10">
        <f>IF(Data!B55="","",Data!B55)</f>
        <v/>
      </c>
      <c r="C73" s="10">
        <f>IF(Data!C55="","",Data!C55)</f>
        <v/>
      </c>
      <c r="D73" s="11">
        <f>IF(AND(ISNUMBER(B73),ISNUMBER(C73),ISNUMBER($B$7),ISNUMBER($B$8)),$B$8+$B$7*B73,"")</f>
        <v/>
      </c>
      <c r="E73" s="11">
        <f>IF(ISNUMBER(D73),C73-D73,"")</f>
        <v/>
      </c>
    </row>
    <row r="74">
      <c r="A74" s="10">
        <f>IF(Data!A56="","",Data!A56)</f>
        <v/>
      </c>
      <c r="B74" s="10">
        <f>IF(Data!B56="","",Data!B56)</f>
        <v/>
      </c>
      <c r="C74" s="10">
        <f>IF(Data!C56="","",Data!C56)</f>
        <v/>
      </c>
      <c r="D74" s="11">
        <f>IF(AND(ISNUMBER(B74),ISNUMBER(C74),ISNUMBER($B$7),ISNUMBER($B$8)),$B$8+$B$7*B74,"")</f>
        <v/>
      </c>
      <c r="E74" s="11">
        <f>IF(ISNUMBER(D74),C74-D74,"")</f>
        <v/>
      </c>
    </row>
    <row r="75">
      <c r="A75" s="10">
        <f>IF(Data!A57="","",Data!A57)</f>
        <v/>
      </c>
      <c r="B75" s="10">
        <f>IF(Data!B57="","",Data!B57)</f>
        <v/>
      </c>
      <c r="C75" s="10">
        <f>IF(Data!C57="","",Data!C57)</f>
        <v/>
      </c>
      <c r="D75" s="11">
        <f>IF(AND(ISNUMBER(B75),ISNUMBER(C75),ISNUMBER($B$7),ISNUMBER($B$8)),$B$8+$B$7*B75,"")</f>
        <v/>
      </c>
      <c r="E75" s="11">
        <f>IF(ISNUMBER(D75),C75-D75,"")</f>
        <v/>
      </c>
    </row>
    <row r="76">
      <c r="A76" s="10">
        <f>IF(Data!A58="","",Data!A58)</f>
        <v/>
      </c>
      <c r="B76" s="10">
        <f>IF(Data!B58="","",Data!B58)</f>
        <v/>
      </c>
      <c r="C76" s="10">
        <f>IF(Data!C58="","",Data!C58)</f>
        <v/>
      </c>
      <c r="D76" s="11">
        <f>IF(AND(ISNUMBER(B76),ISNUMBER(C76),ISNUMBER($B$7),ISNUMBER($B$8)),$B$8+$B$7*B76,"")</f>
        <v/>
      </c>
      <c r="E76" s="11">
        <f>IF(ISNUMBER(D76),C76-D76,"")</f>
        <v/>
      </c>
    </row>
    <row r="77">
      <c r="A77" s="10">
        <f>IF(Data!A59="","",Data!A59)</f>
        <v/>
      </c>
      <c r="B77" s="10">
        <f>IF(Data!B59="","",Data!B59)</f>
        <v/>
      </c>
      <c r="C77" s="10">
        <f>IF(Data!C59="","",Data!C59)</f>
        <v/>
      </c>
      <c r="D77" s="11">
        <f>IF(AND(ISNUMBER(B77),ISNUMBER(C77),ISNUMBER($B$7),ISNUMBER($B$8)),$B$8+$B$7*B77,"")</f>
        <v/>
      </c>
      <c r="E77" s="11">
        <f>IF(ISNUMBER(D77),C77-D77,"")</f>
        <v/>
      </c>
    </row>
    <row r="78">
      <c r="A78" s="10">
        <f>IF(Data!A60="","",Data!A60)</f>
        <v/>
      </c>
      <c r="B78" s="10">
        <f>IF(Data!B60="","",Data!B60)</f>
        <v/>
      </c>
      <c r="C78" s="10">
        <f>IF(Data!C60="","",Data!C60)</f>
        <v/>
      </c>
      <c r="D78" s="11">
        <f>IF(AND(ISNUMBER(B78),ISNUMBER(C78),ISNUMBER($B$7),ISNUMBER($B$8)),$B$8+$B$7*B78,"")</f>
        <v/>
      </c>
      <c r="E78" s="11">
        <f>IF(ISNUMBER(D78),C78-D78,"")</f>
        <v/>
      </c>
    </row>
    <row r="79">
      <c r="A79" s="10">
        <f>IF(Data!A61="","",Data!A61)</f>
        <v/>
      </c>
      <c r="B79" s="10">
        <f>IF(Data!B61="","",Data!B61)</f>
        <v/>
      </c>
      <c r="C79" s="10">
        <f>IF(Data!C61="","",Data!C61)</f>
        <v/>
      </c>
      <c r="D79" s="11">
        <f>IF(AND(ISNUMBER(B79),ISNUMBER(C79),ISNUMBER($B$7),ISNUMBER($B$8)),$B$8+$B$7*B79,"")</f>
        <v/>
      </c>
      <c r="E79" s="11">
        <f>IF(ISNUMBER(D79),C79-D79,"")</f>
        <v/>
      </c>
    </row>
    <row r="80">
      <c r="A80" s="10">
        <f>IF(Data!A62="","",Data!A62)</f>
        <v/>
      </c>
      <c r="B80" s="10">
        <f>IF(Data!B62="","",Data!B62)</f>
        <v/>
      </c>
      <c r="C80" s="10">
        <f>IF(Data!C62="","",Data!C62)</f>
        <v/>
      </c>
      <c r="D80" s="11">
        <f>IF(AND(ISNUMBER(B80),ISNUMBER(C80),ISNUMBER($B$7),ISNUMBER($B$8)),$B$8+$B$7*B80,"")</f>
        <v/>
      </c>
      <c r="E80" s="11">
        <f>IF(ISNUMBER(D80),C80-D80,"")</f>
        <v/>
      </c>
    </row>
    <row r="81">
      <c r="A81" s="10">
        <f>IF(Data!A63="","",Data!A63)</f>
        <v/>
      </c>
      <c r="B81" s="10">
        <f>IF(Data!B63="","",Data!B63)</f>
        <v/>
      </c>
      <c r="C81" s="10">
        <f>IF(Data!C63="","",Data!C63)</f>
        <v/>
      </c>
      <c r="D81" s="11">
        <f>IF(AND(ISNUMBER(B81),ISNUMBER(C81),ISNUMBER($B$7),ISNUMBER($B$8)),$B$8+$B$7*B81,"")</f>
        <v/>
      </c>
      <c r="E81" s="11">
        <f>IF(ISNUMBER(D81),C81-D81,"")</f>
        <v/>
      </c>
    </row>
    <row r="82">
      <c r="A82" s="10">
        <f>IF(Data!A64="","",Data!A64)</f>
        <v/>
      </c>
      <c r="B82" s="10">
        <f>IF(Data!B64="","",Data!B64)</f>
        <v/>
      </c>
      <c r="C82" s="10">
        <f>IF(Data!C64="","",Data!C64)</f>
        <v/>
      </c>
      <c r="D82" s="11">
        <f>IF(AND(ISNUMBER(B82),ISNUMBER(C82),ISNUMBER($B$7),ISNUMBER($B$8)),$B$8+$B$7*B82,"")</f>
        <v/>
      </c>
      <c r="E82" s="11">
        <f>IF(ISNUMBER(D82),C82-D82,"")</f>
        <v/>
      </c>
    </row>
    <row r="83">
      <c r="A83" s="10">
        <f>IF(Data!A65="","",Data!A65)</f>
        <v/>
      </c>
      <c r="B83" s="10">
        <f>IF(Data!B65="","",Data!B65)</f>
        <v/>
      </c>
      <c r="C83" s="10">
        <f>IF(Data!C65="","",Data!C65)</f>
        <v/>
      </c>
      <c r="D83" s="11">
        <f>IF(AND(ISNUMBER(B83),ISNUMBER(C83),ISNUMBER($B$7),ISNUMBER($B$8)),$B$8+$B$7*B83,"")</f>
        <v/>
      </c>
      <c r="E83" s="11">
        <f>IF(ISNUMBER(D83),C83-D83,"")</f>
        <v/>
      </c>
    </row>
    <row r="84">
      <c r="A84" s="10">
        <f>IF(Data!A66="","",Data!A66)</f>
        <v/>
      </c>
      <c r="B84" s="10">
        <f>IF(Data!B66="","",Data!B66)</f>
        <v/>
      </c>
      <c r="C84" s="10">
        <f>IF(Data!C66="","",Data!C66)</f>
        <v/>
      </c>
      <c r="D84" s="11">
        <f>IF(AND(ISNUMBER(B84),ISNUMBER(C84),ISNUMBER($B$7),ISNUMBER($B$8)),$B$8+$B$7*B84,"")</f>
        <v/>
      </c>
      <c r="E84" s="11">
        <f>IF(ISNUMBER(D84),C84-D84,"")</f>
        <v/>
      </c>
    </row>
    <row r="85">
      <c r="A85" s="10">
        <f>IF(Data!A67="","",Data!A67)</f>
        <v/>
      </c>
      <c r="B85" s="10">
        <f>IF(Data!B67="","",Data!B67)</f>
        <v/>
      </c>
      <c r="C85" s="10">
        <f>IF(Data!C67="","",Data!C67)</f>
        <v/>
      </c>
      <c r="D85" s="11">
        <f>IF(AND(ISNUMBER(B85),ISNUMBER(C85),ISNUMBER($B$7),ISNUMBER($B$8)),$B$8+$B$7*B85,"")</f>
        <v/>
      </c>
      <c r="E85" s="11">
        <f>IF(ISNUMBER(D85),C85-D85,"")</f>
        <v/>
      </c>
    </row>
    <row r="86">
      <c r="A86" s="10">
        <f>IF(Data!A68="","",Data!A68)</f>
        <v/>
      </c>
      <c r="B86" s="10">
        <f>IF(Data!B68="","",Data!B68)</f>
        <v/>
      </c>
      <c r="C86" s="10">
        <f>IF(Data!C68="","",Data!C68)</f>
        <v/>
      </c>
      <c r="D86" s="11">
        <f>IF(AND(ISNUMBER(B86),ISNUMBER(C86),ISNUMBER($B$7),ISNUMBER($B$8)),$B$8+$B$7*B86,"")</f>
        <v/>
      </c>
      <c r="E86" s="11">
        <f>IF(ISNUMBER(D86),C86-D86,"")</f>
        <v/>
      </c>
    </row>
    <row r="87">
      <c r="A87" s="10">
        <f>IF(Data!A69="","",Data!A69)</f>
        <v/>
      </c>
      <c r="B87" s="10">
        <f>IF(Data!B69="","",Data!B69)</f>
        <v/>
      </c>
      <c r="C87" s="10">
        <f>IF(Data!C69="","",Data!C69)</f>
        <v/>
      </c>
      <c r="D87" s="11">
        <f>IF(AND(ISNUMBER(B87),ISNUMBER(C87),ISNUMBER($B$7),ISNUMBER($B$8)),$B$8+$B$7*B87,"")</f>
        <v/>
      </c>
      <c r="E87" s="11">
        <f>IF(ISNUMBER(D87),C87-D87,"")</f>
        <v/>
      </c>
    </row>
    <row r="88">
      <c r="A88" s="10">
        <f>IF(Data!A70="","",Data!A70)</f>
        <v/>
      </c>
      <c r="B88" s="10">
        <f>IF(Data!B70="","",Data!B70)</f>
        <v/>
      </c>
      <c r="C88" s="10">
        <f>IF(Data!C70="","",Data!C70)</f>
        <v/>
      </c>
      <c r="D88" s="11">
        <f>IF(AND(ISNUMBER(B88),ISNUMBER(C88),ISNUMBER($B$7),ISNUMBER($B$8)),$B$8+$B$7*B88,"")</f>
        <v/>
      </c>
      <c r="E88" s="11">
        <f>IF(ISNUMBER(D88),C88-D88,"")</f>
        <v/>
      </c>
    </row>
    <row r="89">
      <c r="A89" s="10">
        <f>IF(Data!A71="","",Data!A71)</f>
        <v/>
      </c>
      <c r="B89" s="10">
        <f>IF(Data!B71="","",Data!B71)</f>
        <v/>
      </c>
      <c r="C89" s="10">
        <f>IF(Data!C71="","",Data!C71)</f>
        <v/>
      </c>
      <c r="D89" s="11">
        <f>IF(AND(ISNUMBER(B89),ISNUMBER(C89),ISNUMBER($B$7),ISNUMBER($B$8)),$B$8+$B$7*B89,"")</f>
        <v/>
      </c>
      <c r="E89" s="11">
        <f>IF(ISNUMBER(D89),C89-D89,"")</f>
        <v/>
      </c>
    </row>
    <row r="90">
      <c r="A90" s="10">
        <f>IF(Data!A72="","",Data!A72)</f>
        <v/>
      </c>
      <c r="B90" s="10">
        <f>IF(Data!B72="","",Data!B72)</f>
        <v/>
      </c>
      <c r="C90" s="10">
        <f>IF(Data!C72="","",Data!C72)</f>
        <v/>
      </c>
      <c r="D90" s="11">
        <f>IF(AND(ISNUMBER(B90),ISNUMBER(C90),ISNUMBER($B$7),ISNUMBER($B$8)),$B$8+$B$7*B90,"")</f>
        <v/>
      </c>
      <c r="E90" s="11">
        <f>IF(ISNUMBER(D90),C90-D90,"")</f>
        <v/>
      </c>
    </row>
    <row r="91">
      <c r="A91" s="10">
        <f>IF(Data!A73="","",Data!A73)</f>
        <v/>
      </c>
      <c r="B91" s="10">
        <f>IF(Data!B73="","",Data!B73)</f>
        <v/>
      </c>
      <c r="C91" s="10">
        <f>IF(Data!C73="","",Data!C73)</f>
        <v/>
      </c>
      <c r="D91" s="11">
        <f>IF(AND(ISNUMBER(B91),ISNUMBER(C91),ISNUMBER($B$7),ISNUMBER($B$8)),$B$8+$B$7*B91,"")</f>
        <v/>
      </c>
      <c r="E91" s="11">
        <f>IF(ISNUMBER(D91),C91-D91,"")</f>
        <v/>
      </c>
    </row>
    <row r="92">
      <c r="A92" s="10">
        <f>IF(Data!A74="","",Data!A74)</f>
        <v/>
      </c>
      <c r="B92" s="10">
        <f>IF(Data!B74="","",Data!B74)</f>
        <v/>
      </c>
      <c r="C92" s="10">
        <f>IF(Data!C74="","",Data!C74)</f>
        <v/>
      </c>
      <c r="D92" s="11">
        <f>IF(AND(ISNUMBER(B92),ISNUMBER(C92),ISNUMBER($B$7),ISNUMBER($B$8)),$B$8+$B$7*B92,"")</f>
        <v/>
      </c>
      <c r="E92" s="11">
        <f>IF(ISNUMBER(D92),C92-D92,"")</f>
        <v/>
      </c>
    </row>
    <row r="93">
      <c r="A93" s="10">
        <f>IF(Data!A75="","",Data!A75)</f>
        <v/>
      </c>
      <c r="B93" s="10">
        <f>IF(Data!B75="","",Data!B75)</f>
        <v/>
      </c>
      <c r="C93" s="10">
        <f>IF(Data!C75="","",Data!C75)</f>
        <v/>
      </c>
      <c r="D93" s="11">
        <f>IF(AND(ISNUMBER(B93),ISNUMBER(C93),ISNUMBER($B$7),ISNUMBER($B$8)),$B$8+$B$7*B93,"")</f>
        <v/>
      </c>
      <c r="E93" s="11">
        <f>IF(ISNUMBER(D93),C93-D93,"")</f>
        <v/>
      </c>
    </row>
    <row r="94">
      <c r="A94" s="10">
        <f>IF(Data!A76="","",Data!A76)</f>
        <v/>
      </c>
      <c r="B94" s="10">
        <f>IF(Data!B76="","",Data!B76)</f>
        <v/>
      </c>
      <c r="C94" s="10">
        <f>IF(Data!C76="","",Data!C76)</f>
        <v/>
      </c>
      <c r="D94" s="11">
        <f>IF(AND(ISNUMBER(B94),ISNUMBER(C94),ISNUMBER($B$7),ISNUMBER($B$8)),$B$8+$B$7*B94,"")</f>
        <v/>
      </c>
      <c r="E94" s="11">
        <f>IF(ISNUMBER(D94),C94-D94,"")</f>
        <v/>
      </c>
    </row>
    <row r="95">
      <c r="A95" s="10">
        <f>IF(Data!A77="","",Data!A77)</f>
        <v/>
      </c>
      <c r="B95" s="10">
        <f>IF(Data!B77="","",Data!B77)</f>
        <v/>
      </c>
      <c r="C95" s="10">
        <f>IF(Data!C77="","",Data!C77)</f>
        <v/>
      </c>
      <c r="D95" s="11">
        <f>IF(AND(ISNUMBER(B95),ISNUMBER(C95),ISNUMBER($B$7),ISNUMBER($B$8)),$B$8+$B$7*B95,"")</f>
        <v/>
      </c>
      <c r="E95" s="11">
        <f>IF(ISNUMBER(D95),C95-D95,"")</f>
        <v/>
      </c>
    </row>
    <row r="96">
      <c r="A96" s="10">
        <f>IF(Data!A78="","",Data!A78)</f>
        <v/>
      </c>
      <c r="B96" s="10">
        <f>IF(Data!B78="","",Data!B78)</f>
        <v/>
      </c>
      <c r="C96" s="10">
        <f>IF(Data!C78="","",Data!C78)</f>
        <v/>
      </c>
      <c r="D96" s="11">
        <f>IF(AND(ISNUMBER(B96),ISNUMBER(C96),ISNUMBER($B$7),ISNUMBER($B$8)),$B$8+$B$7*B96,"")</f>
        <v/>
      </c>
      <c r="E96" s="11">
        <f>IF(ISNUMBER(D96),C96-D96,"")</f>
        <v/>
      </c>
    </row>
    <row r="97">
      <c r="A97" s="10">
        <f>IF(Data!A79="","",Data!A79)</f>
        <v/>
      </c>
      <c r="B97" s="10">
        <f>IF(Data!B79="","",Data!B79)</f>
        <v/>
      </c>
      <c r="C97" s="10">
        <f>IF(Data!C79="","",Data!C79)</f>
        <v/>
      </c>
      <c r="D97" s="11">
        <f>IF(AND(ISNUMBER(B97),ISNUMBER(C97),ISNUMBER($B$7),ISNUMBER($B$8)),$B$8+$B$7*B97,"")</f>
        <v/>
      </c>
      <c r="E97" s="11">
        <f>IF(ISNUMBER(D97),C97-D97,"")</f>
        <v/>
      </c>
    </row>
    <row r="98">
      <c r="A98" s="10">
        <f>IF(Data!A80="","",Data!A80)</f>
        <v/>
      </c>
      <c r="B98" s="10">
        <f>IF(Data!B80="","",Data!B80)</f>
        <v/>
      </c>
      <c r="C98" s="10">
        <f>IF(Data!C80="","",Data!C80)</f>
        <v/>
      </c>
      <c r="D98" s="11">
        <f>IF(AND(ISNUMBER(B98),ISNUMBER(C98),ISNUMBER($B$7),ISNUMBER($B$8)),$B$8+$B$7*B98,"")</f>
        <v/>
      </c>
      <c r="E98" s="11">
        <f>IF(ISNUMBER(D98),C98-D98,"")</f>
        <v/>
      </c>
    </row>
    <row r="99">
      <c r="A99" s="10">
        <f>IF(Data!A81="","",Data!A81)</f>
        <v/>
      </c>
      <c r="B99" s="10">
        <f>IF(Data!B81="","",Data!B81)</f>
        <v/>
      </c>
      <c r="C99" s="10">
        <f>IF(Data!C81="","",Data!C81)</f>
        <v/>
      </c>
      <c r="D99" s="11">
        <f>IF(AND(ISNUMBER(B99),ISNUMBER(C99),ISNUMBER($B$7),ISNUMBER($B$8)),$B$8+$B$7*B99,"")</f>
        <v/>
      </c>
      <c r="E99" s="11">
        <f>IF(ISNUMBER(D99),C99-D99,"")</f>
        <v/>
      </c>
    </row>
    <row r="100">
      <c r="A100" s="10">
        <f>IF(Data!A82="","",Data!A82)</f>
        <v/>
      </c>
      <c r="B100" s="10">
        <f>IF(Data!B82="","",Data!B82)</f>
        <v/>
      </c>
      <c r="C100" s="10">
        <f>IF(Data!C82="","",Data!C82)</f>
        <v/>
      </c>
      <c r="D100" s="11">
        <f>IF(AND(ISNUMBER(B100),ISNUMBER(C100),ISNUMBER($B$7),ISNUMBER($B$8)),$B$8+$B$7*B100,"")</f>
        <v/>
      </c>
      <c r="E100" s="11">
        <f>IF(ISNUMBER(D100),C100-D100,"")</f>
        <v/>
      </c>
    </row>
    <row r="101">
      <c r="A101" s="10">
        <f>IF(Data!A83="","",Data!A83)</f>
        <v/>
      </c>
      <c r="B101" s="10">
        <f>IF(Data!B83="","",Data!B83)</f>
        <v/>
      </c>
      <c r="C101" s="10">
        <f>IF(Data!C83="","",Data!C83)</f>
        <v/>
      </c>
      <c r="D101" s="11">
        <f>IF(AND(ISNUMBER(B101),ISNUMBER(C101),ISNUMBER($B$7),ISNUMBER($B$8)),$B$8+$B$7*B101,"")</f>
        <v/>
      </c>
      <c r="E101" s="11">
        <f>IF(ISNUMBER(D101),C101-D101,"")</f>
        <v/>
      </c>
    </row>
    <row r="102">
      <c r="A102" s="10">
        <f>IF(Data!A84="","",Data!A84)</f>
        <v/>
      </c>
      <c r="B102" s="10">
        <f>IF(Data!B84="","",Data!B84)</f>
        <v/>
      </c>
      <c r="C102" s="10">
        <f>IF(Data!C84="","",Data!C84)</f>
        <v/>
      </c>
      <c r="D102" s="11">
        <f>IF(AND(ISNUMBER(B102),ISNUMBER(C102),ISNUMBER($B$7),ISNUMBER($B$8)),$B$8+$B$7*B102,"")</f>
        <v/>
      </c>
      <c r="E102" s="11">
        <f>IF(ISNUMBER(D102),C102-D102,"")</f>
        <v/>
      </c>
    </row>
    <row r="103">
      <c r="A103" s="10">
        <f>IF(Data!A85="","",Data!A85)</f>
        <v/>
      </c>
      <c r="B103" s="10">
        <f>IF(Data!B85="","",Data!B85)</f>
        <v/>
      </c>
      <c r="C103" s="10">
        <f>IF(Data!C85="","",Data!C85)</f>
        <v/>
      </c>
      <c r="D103" s="11">
        <f>IF(AND(ISNUMBER(B103),ISNUMBER(C103),ISNUMBER($B$7),ISNUMBER($B$8)),$B$8+$B$7*B103,"")</f>
        <v/>
      </c>
      <c r="E103" s="11">
        <f>IF(ISNUMBER(D103),C103-D103,"")</f>
        <v/>
      </c>
    </row>
    <row r="104">
      <c r="A104" s="10">
        <f>IF(Data!A86="","",Data!A86)</f>
        <v/>
      </c>
      <c r="B104" s="10">
        <f>IF(Data!B86="","",Data!B86)</f>
        <v/>
      </c>
      <c r="C104" s="10">
        <f>IF(Data!C86="","",Data!C86)</f>
        <v/>
      </c>
      <c r="D104" s="11">
        <f>IF(AND(ISNUMBER(B104),ISNUMBER(C104),ISNUMBER($B$7),ISNUMBER($B$8)),$B$8+$B$7*B104,"")</f>
        <v/>
      </c>
      <c r="E104" s="11">
        <f>IF(ISNUMBER(D104),C104-D104,"")</f>
        <v/>
      </c>
    </row>
    <row r="105">
      <c r="A105" s="10">
        <f>IF(Data!A87="","",Data!A87)</f>
        <v/>
      </c>
      <c r="B105" s="10">
        <f>IF(Data!B87="","",Data!B87)</f>
        <v/>
      </c>
      <c r="C105" s="10">
        <f>IF(Data!C87="","",Data!C87)</f>
        <v/>
      </c>
      <c r="D105" s="11">
        <f>IF(AND(ISNUMBER(B105),ISNUMBER(C105),ISNUMBER($B$7),ISNUMBER($B$8)),$B$8+$B$7*B105,"")</f>
        <v/>
      </c>
      <c r="E105" s="11">
        <f>IF(ISNUMBER(D105),C105-D105,"")</f>
        <v/>
      </c>
    </row>
    <row r="106">
      <c r="A106" s="10">
        <f>IF(Data!A88="","",Data!A88)</f>
        <v/>
      </c>
      <c r="B106" s="10">
        <f>IF(Data!B88="","",Data!B88)</f>
        <v/>
      </c>
      <c r="C106" s="10">
        <f>IF(Data!C88="","",Data!C88)</f>
        <v/>
      </c>
      <c r="D106" s="11">
        <f>IF(AND(ISNUMBER(B106),ISNUMBER(C106),ISNUMBER($B$7),ISNUMBER($B$8)),$B$8+$B$7*B106,"")</f>
        <v/>
      </c>
      <c r="E106" s="11">
        <f>IF(ISNUMBER(D106),C106-D106,"")</f>
        <v/>
      </c>
    </row>
    <row r="107">
      <c r="A107" s="10">
        <f>IF(Data!A89="","",Data!A89)</f>
        <v/>
      </c>
      <c r="B107" s="10">
        <f>IF(Data!B89="","",Data!B89)</f>
        <v/>
      </c>
      <c r="C107" s="10">
        <f>IF(Data!C89="","",Data!C89)</f>
        <v/>
      </c>
      <c r="D107" s="11">
        <f>IF(AND(ISNUMBER(B107),ISNUMBER(C107),ISNUMBER($B$7),ISNUMBER($B$8)),$B$8+$B$7*B107,"")</f>
        <v/>
      </c>
      <c r="E107" s="11">
        <f>IF(ISNUMBER(D107),C107-D107,"")</f>
        <v/>
      </c>
    </row>
    <row r="108">
      <c r="A108" s="10">
        <f>IF(Data!A90="","",Data!A90)</f>
        <v/>
      </c>
      <c r="B108" s="10">
        <f>IF(Data!B90="","",Data!B90)</f>
        <v/>
      </c>
      <c r="C108" s="10">
        <f>IF(Data!C90="","",Data!C90)</f>
        <v/>
      </c>
      <c r="D108" s="11">
        <f>IF(AND(ISNUMBER(B108),ISNUMBER(C108),ISNUMBER($B$7),ISNUMBER($B$8)),$B$8+$B$7*B108,"")</f>
        <v/>
      </c>
      <c r="E108" s="11">
        <f>IF(ISNUMBER(D108),C108-D108,"")</f>
        <v/>
      </c>
    </row>
    <row r="109">
      <c r="A109" s="10">
        <f>IF(Data!A91="","",Data!A91)</f>
        <v/>
      </c>
      <c r="B109" s="10">
        <f>IF(Data!B91="","",Data!B91)</f>
        <v/>
      </c>
      <c r="C109" s="10">
        <f>IF(Data!C91="","",Data!C91)</f>
        <v/>
      </c>
      <c r="D109" s="11">
        <f>IF(AND(ISNUMBER(B109),ISNUMBER(C109),ISNUMBER($B$7),ISNUMBER($B$8)),$B$8+$B$7*B109,"")</f>
        <v/>
      </c>
      <c r="E109" s="11">
        <f>IF(ISNUMBER(D109),C109-D109,"")</f>
        <v/>
      </c>
    </row>
    <row r="110">
      <c r="A110" s="10">
        <f>IF(Data!A92="","",Data!A92)</f>
        <v/>
      </c>
      <c r="B110" s="10">
        <f>IF(Data!B92="","",Data!B92)</f>
        <v/>
      </c>
      <c r="C110" s="10">
        <f>IF(Data!C92="","",Data!C92)</f>
        <v/>
      </c>
      <c r="D110" s="11">
        <f>IF(AND(ISNUMBER(B110),ISNUMBER(C110),ISNUMBER($B$7),ISNUMBER($B$8)),$B$8+$B$7*B110,"")</f>
        <v/>
      </c>
      <c r="E110" s="11">
        <f>IF(ISNUMBER(D110),C110-D110,"")</f>
        <v/>
      </c>
    </row>
    <row r="111">
      <c r="A111" s="10">
        <f>IF(Data!A93="","",Data!A93)</f>
        <v/>
      </c>
      <c r="B111" s="10">
        <f>IF(Data!B93="","",Data!B93)</f>
        <v/>
      </c>
      <c r="C111" s="10">
        <f>IF(Data!C93="","",Data!C93)</f>
        <v/>
      </c>
      <c r="D111" s="11">
        <f>IF(AND(ISNUMBER(B111),ISNUMBER(C111),ISNUMBER($B$7),ISNUMBER($B$8)),$B$8+$B$7*B111,"")</f>
        <v/>
      </c>
      <c r="E111" s="11">
        <f>IF(ISNUMBER(D111),C111-D111,"")</f>
        <v/>
      </c>
    </row>
    <row r="112">
      <c r="A112" s="10">
        <f>IF(Data!A94="","",Data!A94)</f>
        <v/>
      </c>
      <c r="B112" s="10">
        <f>IF(Data!B94="","",Data!B94)</f>
        <v/>
      </c>
      <c r="C112" s="10">
        <f>IF(Data!C94="","",Data!C94)</f>
        <v/>
      </c>
      <c r="D112" s="11">
        <f>IF(AND(ISNUMBER(B112),ISNUMBER(C112),ISNUMBER($B$7),ISNUMBER($B$8)),$B$8+$B$7*B112,"")</f>
        <v/>
      </c>
      <c r="E112" s="11">
        <f>IF(ISNUMBER(D112),C112-D112,"")</f>
        <v/>
      </c>
    </row>
    <row r="113">
      <c r="A113" s="10">
        <f>IF(Data!A95="","",Data!A95)</f>
        <v/>
      </c>
      <c r="B113" s="10">
        <f>IF(Data!B95="","",Data!B95)</f>
        <v/>
      </c>
      <c r="C113" s="10">
        <f>IF(Data!C95="","",Data!C95)</f>
        <v/>
      </c>
      <c r="D113" s="11">
        <f>IF(AND(ISNUMBER(B113),ISNUMBER(C113),ISNUMBER($B$7),ISNUMBER($B$8)),$B$8+$B$7*B113,"")</f>
        <v/>
      </c>
      <c r="E113" s="11">
        <f>IF(ISNUMBER(D113),C113-D113,"")</f>
        <v/>
      </c>
    </row>
    <row r="114">
      <c r="A114" s="10">
        <f>IF(Data!A96="","",Data!A96)</f>
        <v/>
      </c>
      <c r="B114" s="10">
        <f>IF(Data!B96="","",Data!B96)</f>
        <v/>
      </c>
      <c r="C114" s="10">
        <f>IF(Data!C96="","",Data!C96)</f>
        <v/>
      </c>
      <c r="D114" s="11">
        <f>IF(AND(ISNUMBER(B114),ISNUMBER(C114),ISNUMBER($B$7),ISNUMBER($B$8)),$B$8+$B$7*B114,"")</f>
        <v/>
      </c>
      <c r="E114" s="11">
        <f>IF(ISNUMBER(D114),C114-D114,"")</f>
        <v/>
      </c>
    </row>
    <row r="115">
      <c r="A115" s="10">
        <f>IF(Data!A97="","",Data!A97)</f>
        <v/>
      </c>
      <c r="B115" s="10">
        <f>IF(Data!B97="","",Data!B97)</f>
        <v/>
      </c>
      <c r="C115" s="10">
        <f>IF(Data!C97="","",Data!C97)</f>
        <v/>
      </c>
      <c r="D115" s="11">
        <f>IF(AND(ISNUMBER(B115),ISNUMBER(C115),ISNUMBER($B$7),ISNUMBER($B$8)),$B$8+$B$7*B115,"")</f>
        <v/>
      </c>
      <c r="E115" s="11">
        <f>IF(ISNUMBER(D115),C115-D115,"")</f>
        <v/>
      </c>
    </row>
    <row r="116">
      <c r="A116" s="10">
        <f>IF(Data!A98="","",Data!A98)</f>
        <v/>
      </c>
      <c r="B116" s="10">
        <f>IF(Data!B98="","",Data!B98)</f>
        <v/>
      </c>
      <c r="C116" s="10">
        <f>IF(Data!C98="","",Data!C98)</f>
        <v/>
      </c>
      <c r="D116" s="11">
        <f>IF(AND(ISNUMBER(B116),ISNUMBER(C116),ISNUMBER($B$7),ISNUMBER($B$8)),$B$8+$B$7*B116,"")</f>
        <v/>
      </c>
      <c r="E116" s="11">
        <f>IF(ISNUMBER(D116),C116-D116,"")</f>
        <v/>
      </c>
    </row>
    <row r="117">
      <c r="A117" s="10">
        <f>IF(Data!A99="","",Data!A99)</f>
        <v/>
      </c>
      <c r="B117" s="10">
        <f>IF(Data!B99="","",Data!B99)</f>
        <v/>
      </c>
      <c r="C117" s="10">
        <f>IF(Data!C99="","",Data!C99)</f>
        <v/>
      </c>
      <c r="D117" s="11">
        <f>IF(AND(ISNUMBER(B117),ISNUMBER(C117),ISNUMBER($B$7),ISNUMBER($B$8)),$B$8+$B$7*B117,"")</f>
        <v/>
      </c>
      <c r="E117" s="11">
        <f>IF(ISNUMBER(D117),C117-D117,"")</f>
        <v/>
      </c>
    </row>
    <row r="118">
      <c r="A118" s="10">
        <f>IF(Data!A100="","",Data!A100)</f>
        <v/>
      </c>
      <c r="B118" s="10">
        <f>IF(Data!B100="","",Data!B100)</f>
        <v/>
      </c>
      <c r="C118" s="10">
        <f>IF(Data!C100="","",Data!C100)</f>
        <v/>
      </c>
      <c r="D118" s="11">
        <f>IF(AND(ISNUMBER(B118),ISNUMBER(C118),ISNUMBER($B$7),ISNUMBER($B$8)),$B$8+$B$7*B118,"")</f>
        <v/>
      </c>
      <c r="E118" s="11">
        <f>IF(ISNUMBER(D118),C118-D118,"")</f>
        <v/>
      </c>
    </row>
    <row r="119">
      <c r="A119" s="10">
        <f>IF(Data!A101="","",Data!A101)</f>
        <v/>
      </c>
      <c r="B119" s="10">
        <f>IF(Data!B101="","",Data!B101)</f>
        <v/>
      </c>
      <c r="C119" s="10">
        <f>IF(Data!C101="","",Data!C101)</f>
        <v/>
      </c>
      <c r="D119" s="11">
        <f>IF(AND(ISNUMBER(B119),ISNUMBER(C119),ISNUMBER($B$7),ISNUMBER($B$8)),$B$8+$B$7*B119,"")</f>
        <v/>
      </c>
      <c r="E119" s="11">
        <f>IF(ISNUMBER(D119),C119-D119,"")</f>
        <v/>
      </c>
    </row>
    <row r="120">
      <c r="A120" s="10">
        <f>IF(Data!A102="","",Data!A102)</f>
        <v/>
      </c>
      <c r="B120" s="10">
        <f>IF(Data!B102="","",Data!B102)</f>
        <v/>
      </c>
      <c r="C120" s="10">
        <f>IF(Data!C102="","",Data!C102)</f>
        <v/>
      </c>
      <c r="D120" s="11">
        <f>IF(AND(ISNUMBER(B120),ISNUMBER(C120),ISNUMBER($B$7),ISNUMBER($B$8)),$B$8+$B$7*B120,"")</f>
        <v/>
      </c>
      <c r="E120" s="11">
        <f>IF(ISNUMBER(D120),C120-D120,"")</f>
        <v/>
      </c>
    </row>
    <row r="121">
      <c r="A121" s="10">
        <f>IF(Data!A103="","",Data!A103)</f>
        <v/>
      </c>
      <c r="B121" s="10">
        <f>IF(Data!B103="","",Data!B103)</f>
        <v/>
      </c>
      <c r="C121" s="10">
        <f>IF(Data!C103="","",Data!C103)</f>
        <v/>
      </c>
      <c r="D121" s="11">
        <f>IF(AND(ISNUMBER(B121),ISNUMBER(C121),ISNUMBER($B$7),ISNUMBER($B$8)),$B$8+$B$7*B121,"")</f>
        <v/>
      </c>
      <c r="E121" s="11">
        <f>IF(ISNUMBER(D121),C121-D121,"")</f>
        <v/>
      </c>
    </row>
    <row r="122">
      <c r="A122" s="10">
        <f>IF(Data!A104="","",Data!A104)</f>
        <v/>
      </c>
      <c r="B122" s="10">
        <f>IF(Data!B104="","",Data!B104)</f>
        <v/>
      </c>
      <c r="C122" s="10">
        <f>IF(Data!C104="","",Data!C104)</f>
        <v/>
      </c>
      <c r="D122" s="11">
        <f>IF(AND(ISNUMBER(B122),ISNUMBER(C122),ISNUMBER($B$7),ISNUMBER($B$8)),$B$8+$B$7*B122,"")</f>
        <v/>
      </c>
      <c r="E122" s="11">
        <f>IF(ISNUMBER(D122),C122-D122,"")</f>
        <v/>
      </c>
    </row>
    <row r="123">
      <c r="A123" s="10">
        <f>IF(Data!A105="","",Data!A105)</f>
        <v/>
      </c>
      <c r="B123" s="10">
        <f>IF(Data!B105="","",Data!B105)</f>
        <v/>
      </c>
      <c r="C123" s="10">
        <f>IF(Data!C105="","",Data!C105)</f>
        <v/>
      </c>
      <c r="D123" s="11">
        <f>IF(AND(ISNUMBER(B123),ISNUMBER(C123),ISNUMBER($B$7),ISNUMBER($B$8)),$B$8+$B$7*B123,"")</f>
        <v/>
      </c>
      <c r="E123" s="11">
        <f>IF(ISNUMBER(D123),C123-D123,"")</f>
        <v/>
      </c>
    </row>
    <row r="124">
      <c r="A124" s="10">
        <f>IF(Data!A106="","",Data!A106)</f>
        <v/>
      </c>
      <c r="B124" s="10">
        <f>IF(Data!B106="","",Data!B106)</f>
        <v/>
      </c>
      <c r="C124" s="10">
        <f>IF(Data!C106="","",Data!C106)</f>
        <v/>
      </c>
      <c r="D124" s="11">
        <f>IF(AND(ISNUMBER(B124),ISNUMBER(C124),ISNUMBER($B$7),ISNUMBER($B$8)),$B$8+$B$7*B124,"")</f>
        <v/>
      </c>
      <c r="E124" s="11">
        <f>IF(ISNUMBER(D124),C124-D124,"")</f>
        <v/>
      </c>
    </row>
    <row r="125">
      <c r="A125" s="10">
        <f>IF(Data!A107="","",Data!A107)</f>
        <v/>
      </c>
      <c r="B125" s="10">
        <f>IF(Data!B107="","",Data!B107)</f>
        <v/>
      </c>
      <c r="C125" s="10">
        <f>IF(Data!C107="","",Data!C107)</f>
        <v/>
      </c>
      <c r="D125" s="11">
        <f>IF(AND(ISNUMBER(B125),ISNUMBER(C125),ISNUMBER($B$7),ISNUMBER($B$8)),$B$8+$B$7*B125,"")</f>
        <v/>
      </c>
      <c r="E125" s="11">
        <f>IF(ISNUMBER(D125),C125-D125,"")</f>
        <v/>
      </c>
    </row>
    <row r="126">
      <c r="A126" s="10">
        <f>IF(Data!A108="","",Data!A108)</f>
        <v/>
      </c>
      <c r="B126" s="10">
        <f>IF(Data!B108="","",Data!B108)</f>
        <v/>
      </c>
      <c r="C126" s="10">
        <f>IF(Data!C108="","",Data!C108)</f>
        <v/>
      </c>
      <c r="D126" s="11">
        <f>IF(AND(ISNUMBER(B126),ISNUMBER(C126),ISNUMBER($B$7),ISNUMBER($B$8)),$B$8+$B$7*B126,"")</f>
        <v/>
      </c>
      <c r="E126" s="11">
        <f>IF(ISNUMBER(D126),C126-D126,"")</f>
        <v/>
      </c>
    </row>
    <row r="127">
      <c r="A127" s="10">
        <f>IF(Data!A109="","",Data!A109)</f>
        <v/>
      </c>
      <c r="B127" s="10">
        <f>IF(Data!B109="","",Data!B109)</f>
        <v/>
      </c>
      <c r="C127" s="10">
        <f>IF(Data!C109="","",Data!C109)</f>
        <v/>
      </c>
      <c r="D127" s="11">
        <f>IF(AND(ISNUMBER(B127),ISNUMBER(C127),ISNUMBER($B$7),ISNUMBER($B$8)),$B$8+$B$7*B127,"")</f>
        <v/>
      </c>
      <c r="E127" s="11">
        <f>IF(ISNUMBER(D127),C127-D127,"")</f>
        <v/>
      </c>
    </row>
    <row r="128">
      <c r="A128" s="10">
        <f>IF(Data!A110="","",Data!A110)</f>
        <v/>
      </c>
      <c r="B128" s="10">
        <f>IF(Data!B110="","",Data!B110)</f>
        <v/>
      </c>
      <c r="C128" s="10">
        <f>IF(Data!C110="","",Data!C110)</f>
        <v/>
      </c>
      <c r="D128" s="11">
        <f>IF(AND(ISNUMBER(B128),ISNUMBER(C128),ISNUMBER($B$7),ISNUMBER($B$8)),$B$8+$B$7*B128,"")</f>
        <v/>
      </c>
      <c r="E128" s="11">
        <f>IF(ISNUMBER(D128),C128-D128,"")</f>
        <v/>
      </c>
    </row>
    <row r="129">
      <c r="A129" s="10">
        <f>IF(Data!A111="","",Data!A111)</f>
        <v/>
      </c>
      <c r="B129" s="10">
        <f>IF(Data!B111="","",Data!B111)</f>
        <v/>
      </c>
      <c r="C129" s="10">
        <f>IF(Data!C111="","",Data!C111)</f>
        <v/>
      </c>
      <c r="D129" s="11">
        <f>IF(AND(ISNUMBER(B129),ISNUMBER(C129),ISNUMBER($B$7),ISNUMBER($B$8)),$B$8+$B$7*B129,"")</f>
        <v/>
      </c>
      <c r="E129" s="11">
        <f>IF(ISNUMBER(D129),C129-D129,"")</f>
        <v/>
      </c>
    </row>
    <row r="130">
      <c r="A130" s="10">
        <f>IF(Data!A112="","",Data!A112)</f>
        <v/>
      </c>
      <c r="B130" s="10">
        <f>IF(Data!B112="","",Data!B112)</f>
        <v/>
      </c>
      <c r="C130" s="10">
        <f>IF(Data!C112="","",Data!C112)</f>
        <v/>
      </c>
      <c r="D130" s="11">
        <f>IF(AND(ISNUMBER(B130),ISNUMBER(C130),ISNUMBER($B$7),ISNUMBER($B$8)),$B$8+$B$7*B130,"")</f>
        <v/>
      </c>
      <c r="E130" s="11">
        <f>IF(ISNUMBER(D130),C130-D130,"")</f>
        <v/>
      </c>
    </row>
    <row r="131">
      <c r="A131" s="10">
        <f>IF(Data!A113="","",Data!A113)</f>
        <v/>
      </c>
      <c r="B131" s="10">
        <f>IF(Data!B113="","",Data!B113)</f>
        <v/>
      </c>
      <c r="C131" s="10">
        <f>IF(Data!C113="","",Data!C113)</f>
        <v/>
      </c>
      <c r="D131" s="11">
        <f>IF(AND(ISNUMBER(B131),ISNUMBER(C131),ISNUMBER($B$7),ISNUMBER($B$8)),$B$8+$B$7*B131,"")</f>
        <v/>
      </c>
      <c r="E131" s="11">
        <f>IF(ISNUMBER(D131),C131-D131,"")</f>
        <v/>
      </c>
    </row>
    <row r="132">
      <c r="A132" s="10">
        <f>IF(Data!A114="","",Data!A114)</f>
        <v/>
      </c>
      <c r="B132" s="10">
        <f>IF(Data!B114="","",Data!B114)</f>
        <v/>
      </c>
      <c r="C132" s="10">
        <f>IF(Data!C114="","",Data!C114)</f>
        <v/>
      </c>
      <c r="D132" s="11">
        <f>IF(AND(ISNUMBER(B132),ISNUMBER(C132),ISNUMBER($B$7),ISNUMBER($B$8)),$B$8+$B$7*B132,"")</f>
        <v/>
      </c>
      <c r="E132" s="11">
        <f>IF(ISNUMBER(D132),C132-D132,"")</f>
        <v/>
      </c>
    </row>
    <row r="133">
      <c r="A133" s="10">
        <f>IF(Data!A115="","",Data!A115)</f>
        <v/>
      </c>
      <c r="B133" s="10">
        <f>IF(Data!B115="","",Data!B115)</f>
        <v/>
      </c>
      <c r="C133" s="10">
        <f>IF(Data!C115="","",Data!C115)</f>
        <v/>
      </c>
      <c r="D133" s="11">
        <f>IF(AND(ISNUMBER(B133),ISNUMBER(C133),ISNUMBER($B$7),ISNUMBER($B$8)),$B$8+$B$7*B133,"")</f>
        <v/>
      </c>
      <c r="E133" s="11">
        <f>IF(ISNUMBER(D133),C133-D133,"")</f>
        <v/>
      </c>
    </row>
    <row r="134">
      <c r="A134" s="10">
        <f>IF(Data!A116="","",Data!A116)</f>
        <v/>
      </c>
      <c r="B134" s="10">
        <f>IF(Data!B116="","",Data!B116)</f>
        <v/>
      </c>
      <c r="C134" s="10">
        <f>IF(Data!C116="","",Data!C116)</f>
        <v/>
      </c>
      <c r="D134" s="11">
        <f>IF(AND(ISNUMBER(B134),ISNUMBER(C134),ISNUMBER($B$7),ISNUMBER($B$8)),$B$8+$B$7*B134,"")</f>
        <v/>
      </c>
      <c r="E134" s="11">
        <f>IF(ISNUMBER(D134),C134-D134,"")</f>
        <v/>
      </c>
    </row>
    <row r="135">
      <c r="A135" s="10">
        <f>IF(Data!A117="","",Data!A117)</f>
        <v/>
      </c>
      <c r="B135" s="10">
        <f>IF(Data!B117="","",Data!B117)</f>
        <v/>
      </c>
      <c r="C135" s="10">
        <f>IF(Data!C117="","",Data!C117)</f>
        <v/>
      </c>
      <c r="D135" s="11">
        <f>IF(AND(ISNUMBER(B135),ISNUMBER(C135),ISNUMBER($B$7),ISNUMBER($B$8)),$B$8+$B$7*B135,"")</f>
        <v/>
      </c>
      <c r="E135" s="11">
        <f>IF(ISNUMBER(D135),C135-D135,"")</f>
        <v/>
      </c>
    </row>
    <row r="136">
      <c r="A136" s="10">
        <f>IF(Data!A118="","",Data!A118)</f>
        <v/>
      </c>
      <c r="B136" s="10">
        <f>IF(Data!B118="","",Data!B118)</f>
        <v/>
      </c>
      <c r="C136" s="10">
        <f>IF(Data!C118="","",Data!C118)</f>
        <v/>
      </c>
      <c r="D136" s="11">
        <f>IF(AND(ISNUMBER(B136),ISNUMBER(C136),ISNUMBER($B$7),ISNUMBER($B$8)),$B$8+$B$7*B136,"")</f>
        <v/>
      </c>
      <c r="E136" s="11">
        <f>IF(ISNUMBER(D136),C136-D136,"")</f>
        <v/>
      </c>
    </row>
    <row r="137">
      <c r="A137" s="10">
        <f>IF(Data!A119="","",Data!A119)</f>
        <v/>
      </c>
      <c r="B137" s="10">
        <f>IF(Data!B119="","",Data!B119)</f>
        <v/>
      </c>
      <c r="C137" s="10">
        <f>IF(Data!C119="","",Data!C119)</f>
        <v/>
      </c>
      <c r="D137" s="11">
        <f>IF(AND(ISNUMBER(B137),ISNUMBER(C137),ISNUMBER($B$7),ISNUMBER($B$8)),$B$8+$B$7*B137,"")</f>
        <v/>
      </c>
      <c r="E137" s="11">
        <f>IF(ISNUMBER(D137),C137-D137,"")</f>
        <v/>
      </c>
    </row>
    <row r="138">
      <c r="A138" s="10">
        <f>IF(Data!A120="","",Data!A120)</f>
        <v/>
      </c>
      <c r="B138" s="10">
        <f>IF(Data!B120="","",Data!B120)</f>
        <v/>
      </c>
      <c r="C138" s="10">
        <f>IF(Data!C120="","",Data!C120)</f>
        <v/>
      </c>
      <c r="D138" s="11">
        <f>IF(AND(ISNUMBER(B138),ISNUMBER(C138),ISNUMBER($B$7),ISNUMBER($B$8)),$B$8+$B$7*B138,"")</f>
        <v/>
      </c>
      <c r="E138" s="11">
        <f>IF(ISNUMBER(D138),C138-D138,"")</f>
        <v/>
      </c>
    </row>
    <row r="139">
      <c r="A139" s="10">
        <f>IF(Data!A121="","",Data!A121)</f>
        <v/>
      </c>
      <c r="B139" s="10">
        <f>IF(Data!B121="","",Data!B121)</f>
        <v/>
      </c>
      <c r="C139" s="10">
        <f>IF(Data!C121="","",Data!C121)</f>
        <v/>
      </c>
      <c r="D139" s="11">
        <f>IF(AND(ISNUMBER(B139),ISNUMBER(C139),ISNUMBER($B$7),ISNUMBER($B$8)),$B$8+$B$7*B139,"")</f>
        <v/>
      </c>
      <c r="E139" s="11">
        <f>IF(ISNUMBER(D139),C139-D139,"")</f>
        <v/>
      </c>
    </row>
    <row r="140">
      <c r="A140" s="10">
        <f>IF(Data!A122="","",Data!A122)</f>
        <v/>
      </c>
      <c r="B140" s="10">
        <f>IF(Data!B122="","",Data!B122)</f>
        <v/>
      </c>
      <c r="C140" s="10">
        <f>IF(Data!C122="","",Data!C122)</f>
        <v/>
      </c>
      <c r="D140" s="11">
        <f>IF(AND(ISNUMBER(B140),ISNUMBER(C140),ISNUMBER($B$7),ISNUMBER($B$8)),$B$8+$B$7*B140,"")</f>
        <v/>
      </c>
      <c r="E140" s="11">
        <f>IF(ISNUMBER(D140),C140-D140,"")</f>
        <v/>
      </c>
    </row>
    <row r="141">
      <c r="A141" s="10">
        <f>IF(Data!A123="","",Data!A123)</f>
        <v/>
      </c>
      <c r="B141" s="10">
        <f>IF(Data!B123="","",Data!B123)</f>
        <v/>
      </c>
      <c r="C141" s="10">
        <f>IF(Data!C123="","",Data!C123)</f>
        <v/>
      </c>
      <c r="D141" s="11">
        <f>IF(AND(ISNUMBER(B141),ISNUMBER(C141),ISNUMBER($B$7),ISNUMBER($B$8)),$B$8+$B$7*B141,"")</f>
        <v/>
      </c>
      <c r="E141" s="11">
        <f>IF(ISNUMBER(D141),C141-D141,"")</f>
        <v/>
      </c>
    </row>
    <row r="142">
      <c r="A142" s="10">
        <f>IF(Data!A124="","",Data!A124)</f>
        <v/>
      </c>
      <c r="B142" s="10">
        <f>IF(Data!B124="","",Data!B124)</f>
        <v/>
      </c>
      <c r="C142" s="10">
        <f>IF(Data!C124="","",Data!C124)</f>
        <v/>
      </c>
      <c r="D142" s="11">
        <f>IF(AND(ISNUMBER(B142),ISNUMBER(C142),ISNUMBER($B$7),ISNUMBER($B$8)),$B$8+$B$7*B142,"")</f>
        <v/>
      </c>
      <c r="E142" s="11">
        <f>IF(ISNUMBER(D142),C142-D142,"")</f>
        <v/>
      </c>
    </row>
    <row r="143">
      <c r="A143" s="10">
        <f>IF(Data!A125="","",Data!A125)</f>
        <v/>
      </c>
      <c r="B143" s="10">
        <f>IF(Data!B125="","",Data!B125)</f>
        <v/>
      </c>
      <c r="C143" s="10">
        <f>IF(Data!C125="","",Data!C125)</f>
        <v/>
      </c>
      <c r="D143" s="11">
        <f>IF(AND(ISNUMBER(B143),ISNUMBER(C143),ISNUMBER($B$7),ISNUMBER($B$8)),$B$8+$B$7*B143,"")</f>
        <v/>
      </c>
      <c r="E143" s="11">
        <f>IF(ISNUMBER(D143),C143-D143,"")</f>
        <v/>
      </c>
    </row>
    <row r="144">
      <c r="A144" s="10">
        <f>IF(Data!A126="","",Data!A126)</f>
        <v/>
      </c>
      <c r="B144" s="10">
        <f>IF(Data!B126="","",Data!B126)</f>
        <v/>
      </c>
      <c r="C144" s="10">
        <f>IF(Data!C126="","",Data!C126)</f>
        <v/>
      </c>
      <c r="D144" s="11">
        <f>IF(AND(ISNUMBER(B144),ISNUMBER(C144),ISNUMBER($B$7),ISNUMBER($B$8)),$B$8+$B$7*B144,"")</f>
        <v/>
      </c>
      <c r="E144" s="11">
        <f>IF(ISNUMBER(D144),C144-D144,"")</f>
        <v/>
      </c>
    </row>
    <row r="145">
      <c r="A145" s="10">
        <f>IF(Data!A127="","",Data!A127)</f>
        <v/>
      </c>
      <c r="B145" s="10">
        <f>IF(Data!B127="","",Data!B127)</f>
        <v/>
      </c>
      <c r="C145" s="10">
        <f>IF(Data!C127="","",Data!C127)</f>
        <v/>
      </c>
      <c r="D145" s="11">
        <f>IF(AND(ISNUMBER(B145),ISNUMBER(C145),ISNUMBER($B$7),ISNUMBER($B$8)),$B$8+$B$7*B145,"")</f>
        <v/>
      </c>
      <c r="E145" s="11">
        <f>IF(ISNUMBER(D145),C145-D145,"")</f>
        <v/>
      </c>
    </row>
    <row r="146">
      <c r="A146" s="10">
        <f>IF(Data!A128="","",Data!A128)</f>
        <v/>
      </c>
      <c r="B146" s="10">
        <f>IF(Data!B128="","",Data!B128)</f>
        <v/>
      </c>
      <c r="C146" s="10">
        <f>IF(Data!C128="","",Data!C128)</f>
        <v/>
      </c>
      <c r="D146" s="11">
        <f>IF(AND(ISNUMBER(B146),ISNUMBER(C146),ISNUMBER($B$7),ISNUMBER($B$8)),$B$8+$B$7*B146,"")</f>
        <v/>
      </c>
      <c r="E146" s="11">
        <f>IF(ISNUMBER(D146),C146-D146,"")</f>
        <v/>
      </c>
    </row>
    <row r="147">
      <c r="A147" s="10">
        <f>IF(Data!A129="","",Data!A129)</f>
        <v/>
      </c>
      <c r="B147" s="10">
        <f>IF(Data!B129="","",Data!B129)</f>
        <v/>
      </c>
      <c r="C147" s="10">
        <f>IF(Data!C129="","",Data!C129)</f>
        <v/>
      </c>
      <c r="D147" s="11">
        <f>IF(AND(ISNUMBER(B147),ISNUMBER(C147),ISNUMBER($B$7),ISNUMBER($B$8)),$B$8+$B$7*B147,"")</f>
        <v/>
      </c>
      <c r="E147" s="11">
        <f>IF(ISNUMBER(D147),C147-D147,"")</f>
        <v/>
      </c>
    </row>
    <row r="148">
      <c r="A148" s="10">
        <f>IF(Data!A130="","",Data!A130)</f>
        <v/>
      </c>
      <c r="B148" s="10">
        <f>IF(Data!B130="","",Data!B130)</f>
        <v/>
      </c>
      <c r="C148" s="10">
        <f>IF(Data!C130="","",Data!C130)</f>
        <v/>
      </c>
      <c r="D148" s="11">
        <f>IF(AND(ISNUMBER(B148),ISNUMBER(C148),ISNUMBER($B$7),ISNUMBER($B$8)),$B$8+$B$7*B148,"")</f>
        <v/>
      </c>
      <c r="E148" s="11">
        <f>IF(ISNUMBER(D148),C148-D148,"")</f>
        <v/>
      </c>
    </row>
    <row r="149">
      <c r="A149" s="10">
        <f>IF(Data!A131="","",Data!A131)</f>
        <v/>
      </c>
      <c r="B149" s="10">
        <f>IF(Data!B131="","",Data!B131)</f>
        <v/>
      </c>
      <c r="C149" s="10">
        <f>IF(Data!C131="","",Data!C131)</f>
        <v/>
      </c>
      <c r="D149" s="11">
        <f>IF(AND(ISNUMBER(B149),ISNUMBER(C149),ISNUMBER($B$7),ISNUMBER($B$8)),$B$8+$B$7*B149,"")</f>
        <v/>
      </c>
      <c r="E149" s="11">
        <f>IF(ISNUMBER(D149),C149-D149,"")</f>
        <v/>
      </c>
    </row>
    <row r="150">
      <c r="A150" s="10">
        <f>IF(Data!A132="","",Data!A132)</f>
        <v/>
      </c>
      <c r="B150" s="10">
        <f>IF(Data!B132="","",Data!B132)</f>
        <v/>
      </c>
      <c r="C150" s="10">
        <f>IF(Data!C132="","",Data!C132)</f>
        <v/>
      </c>
      <c r="D150" s="11">
        <f>IF(AND(ISNUMBER(B150),ISNUMBER(C150),ISNUMBER($B$7),ISNUMBER($B$8)),$B$8+$B$7*B150,"")</f>
        <v/>
      </c>
      <c r="E150" s="11">
        <f>IF(ISNUMBER(D150),C150-D150,"")</f>
        <v/>
      </c>
    </row>
    <row r="151">
      <c r="A151" s="10">
        <f>IF(Data!A133="","",Data!A133)</f>
        <v/>
      </c>
      <c r="B151" s="10">
        <f>IF(Data!B133="","",Data!B133)</f>
        <v/>
      </c>
      <c r="C151" s="10">
        <f>IF(Data!C133="","",Data!C133)</f>
        <v/>
      </c>
      <c r="D151" s="11">
        <f>IF(AND(ISNUMBER(B151),ISNUMBER(C151),ISNUMBER($B$7),ISNUMBER($B$8)),$B$8+$B$7*B151,"")</f>
        <v/>
      </c>
      <c r="E151" s="11">
        <f>IF(ISNUMBER(D151),C151-D151,"")</f>
        <v/>
      </c>
    </row>
    <row r="152">
      <c r="A152" s="10">
        <f>IF(Data!A134="","",Data!A134)</f>
        <v/>
      </c>
      <c r="B152" s="10">
        <f>IF(Data!B134="","",Data!B134)</f>
        <v/>
      </c>
      <c r="C152" s="10">
        <f>IF(Data!C134="","",Data!C134)</f>
        <v/>
      </c>
      <c r="D152" s="11">
        <f>IF(AND(ISNUMBER(B152),ISNUMBER(C152),ISNUMBER($B$7),ISNUMBER($B$8)),$B$8+$B$7*B152,"")</f>
        <v/>
      </c>
      <c r="E152" s="11">
        <f>IF(ISNUMBER(D152),C152-D152,"")</f>
        <v/>
      </c>
    </row>
    <row r="153">
      <c r="A153" s="10">
        <f>IF(Data!A135="","",Data!A135)</f>
        <v/>
      </c>
      <c r="B153" s="10">
        <f>IF(Data!B135="","",Data!B135)</f>
        <v/>
      </c>
      <c r="C153" s="10">
        <f>IF(Data!C135="","",Data!C135)</f>
        <v/>
      </c>
      <c r="D153" s="11">
        <f>IF(AND(ISNUMBER(B153),ISNUMBER(C153),ISNUMBER($B$7),ISNUMBER($B$8)),$B$8+$B$7*B153,"")</f>
        <v/>
      </c>
      <c r="E153" s="11">
        <f>IF(ISNUMBER(D153),C153-D153,"")</f>
        <v/>
      </c>
    </row>
    <row r="154">
      <c r="A154" s="10">
        <f>IF(Data!A136="","",Data!A136)</f>
        <v/>
      </c>
      <c r="B154" s="10">
        <f>IF(Data!B136="","",Data!B136)</f>
        <v/>
      </c>
      <c r="C154" s="10">
        <f>IF(Data!C136="","",Data!C136)</f>
        <v/>
      </c>
      <c r="D154" s="11">
        <f>IF(AND(ISNUMBER(B154),ISNUMBER(C154),ISNUMBER($B$7),ISNUMBER($B$8)),$B$8+$B$7*B154,"")</f>
        <v/>
      </c>
      <c r="E154" s="11">
        <f>IF(ISNUMBER(D154),C154-D154,"")</f>
        <v/>
      </c>
    </row>
    <row r="155">
      <c r="A155" s="10">
        <f>IF(Data!A137="","",Data!A137)</f>
        <v/>
      </c>
      <c r="B155" s="10">
        <f>IF(Data!B137="","",Data!B137)</f>
        <v/>
      </c>
      <c r="C155" s="10">
        <f>IF(Data!C137="","",Data!C137)</f>
        <v/>
      </c>
      <c r="D155" s="11">
        <f>IF(AND(ISNUMBER(B155),ISNUMBER(C155),ISNUMBER($B$7),ISNUMBER($B$8)),$B$8+$B$7*B155,"")</f>
        <v/>
      </c>
      <c r="E155" s="11">
        <f>IF(ISNUMBER(D155),C155-D155,"")</f>
        <v/>
      </c>
    </row>
    <row r="156">
      <c r="A156" s="10">
        <f>IF(Data!A138="","",Data!A138)</f>
        <v/>
      </c>
      <c r="B156" s="10">
        <f>IF(Data!B138="","",Data!B138)</f>
        <v/>
      </c>
      <c r="C156" s="10">
        <f>IF(Data!C138="","",Data!C138)</f>
        <v/>
      </c>
      <c r="D156" s="11">
        <f>IF(AND(ISNUMBER(B156),ISNUMBER(C156),ISNUMBER($B$7),ISNUMBER($B$8)),$B$8+$B$7*B156,"")</f>
        <v/>
      </c>
      <c r="E156" s="11">
        <f>IF(ISNUMBER(D156),C156-D156,"")</f>
        <v/>
      </c>
    </row>
    <row r="157">
      <c r="A157" s="10">
        <f>IF(Data!A139="","",Data!A139)</f>
        <v/>
      </c>
      <c r="B157" s="10">
        <f>IF(Data!B139="","",Data!B139)</f>
        <v/>
      </c>
      <c r="C157" s="10">
        <f>IF(Data!C139="","",Data!C139)</f>
        <v/>
      </c>
      <c r="D157" s="11">
        <f>IF(AND(ISNUMBER(B157),ISNUMBER(C157),ISNUMBER($B$7),ISNUMBER($B$8)),$B$8+$B$7*B157,"")</f>
        <v/>
      </c>
      <c r="E157" s="11">
        <f>IF(ISNUMBER(D157),C157-D157,"")</f>
        <v/>
      </c>
    </row>
    <row r="158">
      <c r="A158" s="10">
        <f>IF(Data!A140="","",Data!A140)</f>
        <v/>
      </c>
      <c r="B158" s="10">
        <f>IF(Data!B140="","",Data!B140)</f>
        <v/>
      </c>
      <c r="C158" s="10">
        <f>IF(Data!C140="","",Data!C140)</f>
        <v/>
      </c>
      <c r="D158" s="11">
        <f>IF(AND(ISNUMBER(B158),ISNUMBER(C158),ISNUMBER($B$7),ISNUMBER($B$8)),$B$8+$B$7*B158,"")</f>
        <v/>
      </c>
      <c r="E158" s="11">
        <f>IF(ISNUMBER(D158),C158-D158,"")</f>
        <v/>
      </c>
    </row>
    <row r="159">
      <c r="A159" s="10">
        <f>IF(Data!A141="","",Data!A141)</f>
        <v/>
      </c>
      <c r="B159" s="10">
        <f>IF(Data!B141="","",Data!B141)</f>
        <v/>
      </c>
      <c r="C159" s="10">
        <f>IF(Data!C141="","",Data!C141)</f>
        <v/>
      </c>
      <c r="D159" s="11">
        <f>IF(AND(ISNUMBER(B159),ISNUMBER(C159),ISNUMBER($B$7),ISNUMBER($B$8)),$B$8+$B$7*B159,"")</f>
        <v/>
      </c>
      <c r="E159" s="11">
        <f>IF(ISNUMBER(D159),C159-D159,"")</f>
        <v/>
      </c>
    </row>
    <row r="160">
      <c r="A160" s="10">
        <f>IF(Data!A142="","",Data!A142)</f>
        <v/>
      </c>
      <c r="B160" s="10">
        <f>IF(Data!B142="","",Data!B142)</f>
        <v/>
      </c>
      <c r="C160" s="10">
        <f>IF(Data!C142="","",Data!C142)</f>
        <v/>
      </c>
      <c r="D160" s="11">
        <f>IF(AND(ISNUMBER(B160),ISNUMBER(C160),ISNUMBER($B$7),ISNUMBER($B$8)),$B$8+$B$7*B160,"")</f>
        <v/>
      </c>
      <c r="E160" s="11">
        <f>IF(ISNUMBER(D160),C160-D160,"")</f>
        <v/>
      </c>
    </row>
    <row r="161">
      <c r="A161" s="10">
        <f>IF(Data!A143="","",Data!A143)</f>
        <v/>
      </c>
      <c r="B161" s="10">
        <f>IF(Data!B143="","",Data!B143)</f>
        <v/>
      </c>
      <c r="C161" s="10">
        <f>IF(Data!C143="","",Data!C143)</f>
        <v/>
      </c>
      <c r="D161" s="11">
        <f>IF(AND(ISNUMBER(B161),ISNUMBER(C161),ISNUMBER($B$7),ISNUMBER($B$8)),$B$8+$B$7*B161,"")</f>
        <v/>
      </c>
      <c r="E161" s="11">
        <f>IF(ISNUMBER(D161),C161-D161,"")</f>
        <v/>
      </c>
    </row>
    <row r="162">
      <c r="A162" s="10">
        <f>IF(Data!A144="","",Data!A144)</f>
        <v/>
      </c>
      <c r="B162" s="10">
        <f>IF(Data!B144="","",Data!B144)</f>
        <v/>
      </c>
      <c r="C162" s="10">
        <f>IF(Data!C144="","",Data!C144)</f>
        <v/>
      </c>
      <c r="D162" s="11">
        <f>IF(AND(ISNUMBER(B162),ISNUMBER(C162),ISNUMBER($B$7),ISNUMBER($B$8)),$B$8+$B$7*B162,"")</f>
        <v/>
      </c>
      <c r="E162" s="11">
        <f>IF(ISNUMBER(D162),C162-D162,"")</f>
        <v/>
      </c>
    </row>
    <row r="163">
      <c r="A163" s="10">
        <f>IF(Data!A145="","",Data!A145)</f>
        <v/>
      </c>
      <c r="B163" s="10">
        <f>IF(Data!B145="","",Data!B145)</f>
        <v/>
      </c>
      <c r="C163" s="10">
        <f>IF(Data!C145="","",Data!C145)</f>
        <v/>
      </c>
      <c r="D163" s="11">
        <f>IF(AND(ISNUMBER(B163),ISNUMBER(C163),ISNUMBER($B$7),ISNUMBER($B$8)),$B$8+$B$7*B163,"")</f>
        <v/>
      </c>
      <c r="E163" s="11">
        <f>IF(ISNUMBER(D163),C163-D163,"")</f>
        <v/>
      </c>
    </row>
    <row r="164">
      <c r="A164" s="10">
        <f>IF(Data!A146="","",Data!A146)</f>
        <v/>
      </c>
      <c r="B164" s="10">
        <f>IF(Data!B146="","",Data!B146)</f>
        <v/>
      </c>
      <c r="C164" s="10">
        <f>IF(Data!C146="","",Data!C146)</f>
        <v/>
      </c>
      <c r="D164" s="11">
        <f>IF(AND(ISNUMBER(B164),ISNUMBER(C164),ISNUMBER($B$7),ISNUMBER($B$8)),$B$8+$B$7*B164,"")</f>
        <v/>
      </c>
      <c r="E164" s="11">
        <f>IF(ISNUMBER(D164),C164-D164,"")</f>
        <v/>
      </c>
    </row>
    <row r="165">
      <c r="A165" s="10">
        <f>IF(Data!A147="","",Data!A147)</f>
        <v/>
      </c>
      <c r="B165" s="10">
        <f>IF(Data!B147="","",Data!B147)</f>
        <v/>
      </c>
      <c r="C165" s="10">
        <f>IF(Data!C147="","",Data!C147)</f>
        <v/>
      </c>
      <c r="D165" s="11">
        <f>IF(AND(ISNUMBER(B165),ISNUMBER(C165),ISNUMBER($B$7),ISNUMBER($B$8)),$B$8+$B$7*B165,"")</f>
        <v/>
      </c>
      <c r="E165" s="11">
        <f>IF(ISNUMBER(D165),C165-D165,"")</f>
        <v/>
      </c>
    </row>
    <row r="166">
      <c r="A166" s="10">
        <f>IF(Data!A148="","",Data!A148)</f>
        <v/>
      </c>
      <c r="B166" s="10">
        <f>IF(Data!B148="","",Data!B148)</f>
        <v/>
      </c>
      <c r="C166" s="10">
        <f>IF(Data!C148="","",Data!C148)</f>
        <v/>
      </c>
      <c r="D166" s="11">
        <f>IF(AND(ISNUMBER(B166),ISNUMBER(C166),ISNUMBER($B$7),ISNUMBER($B$8)),$B$8+$B$7*B166,"")</f>
        <v/>
      </c>
      <c r="E166" s="11">
        <f>IF(ISNUMBER(D166),C166-D166,"")</f>
        <v/>
      </c>
    </row>
    <row r="167">
      <c r="A167" s="10">
        <f>IF(Data!A149="","",Data!A149)</f>
        <v/>
      </c>
      <c r="B167" s="10">
        <f>IF(Data!B149="","",Data!B149)</f>
        <v/>
      </c>
      <c r="C167" s="10">
        <f>IF(Data!C149="","",Data!C149)</f>
        <v/>
      </c>
      <c r="D167" s="11">
        <f>IF(AND(ISNUMBER(B167),ISNUMBER(C167),ISNUMBER($B$7),ISNUMBER($B$8)),$B$8+$B$7*B167,"")</f>
        <v/>
      </c>
      <c r="E167" s="11">
        <f>IF(ISNUMBER(D167),C167-D167,"")</f>
        <v/>
      </c>
    </row>
    <row r="168">
      <c r="A168" s="10">
        <f>IF(Data!A150="","",Data!A150)</f>
        <v/>
      </c>
      <c r="B168" s="10">
        <f>IF(Data!B150="","",Data!B150)</f>
        <v/>
      </c>
      <c r="C168" s="10">
        <f>IF(Data!C150="","",Data!C150)</f>
        <v/>
      </c>
      <c r="D168" s="11">
        <f>IF(AND(ISNUMBER(B168),ISNUMBER(C168),ISNUMBER($B$7),ISNUMBER($B$8)),$B$8+$B$7*B168,"")</f>
        <v/>
      </c>
      <c r="E168" s="11">
        <f>IF(ISNUMBER(D168),C168-D168,"")</f>
        <v/>
      </c>
    </row>
    <row r="169">
      <c r="A169" s="10">
        <f>IF(Data!A151="","",Data!A151)</f>
        <v/>
      </c>
      <c r="B169" s="10">
        <f>IF(Data!B151="","",Data!B151)</f>
        <v/>
      </c>
      <c r="C169" s="10">
        <f>IF(Data!C151="","",Data!C151)</f>
        <v/>
      </c>
      <c r="D169" s="11">
        <f>IF(AND(ISNUMBER(B169),ISNUMBER(C169),ISNUMBER($B$7),ISNUMBER($B$8)),$B$8+$B$7*B169,"")</f>
        <v/>
      </c>
      <c r="E169" s="11">
        <f>IF(ISNUMBER(D169),C169-D169,"")</f>
        <v/>
      </c>
    </row>
    <row r="170">
      <c r="A170" s="10">
        <f>IF(Data!A152="","",Data!A152)</f>
        <v/>
      </c>
      <c r="B170" s="10">
        <f>IF(Data!B152="","",Data!B152)</f>
        <v/>
      </c>
      <c r="C170" s="10">
        <f>IF(Data!C152="","",Data!C152)</f>
        <v/>
      </c>
      <c r="D170" s="11">
        <f>IF(AND(ISNUMBER(B170),ISNUMBER(C170),ISNUMBER($B$7),ISNUMBER($B$8)),$B$8+$B$7*B170,"")</f>
        <v/>
      </c>
      <c r="E170" s="11">
        <f>IF(ISNUMBER(D170),C170-D170,"")</f>
        <v/>
      </c>
    </row>
    <row r="171">
      <c r="A171" s="10">
        <f>IF(Data!A153="","",Data!A153)</f>
        <v/>
      </c>
      <c r="B171" s="10">
        <f>IF(Data!B153="","",Data!B153)</f>
        <v/>
      </c>
      <c r="C171" s="10">
        <f>IF(Data!C153="","",Data!C153)</f>
        <v/>
      </c>
      <c r="D171" s="11">
        <f>IF(AND(ISNUMBER(B171),ISNUMBER(C171),ISNUMBER($B$7),ISNUMBER($B$8)),$B$8+$B$7*B171,"")</f>
        <v/>
      </c>
      <c r="E171" s="11">
        <f>IF(ISNUMBER(D171),C171-D171,"")</f>
        <v/>
      </c>
    </row>
    <row r="172">
      <c r="A172" s="10">
        <f>IF(Data!A154="","",Data!A154)</f>
        <v/>
      </c>
      <c r="B172" s="10">
        <f>IF(Data!B154="","",Data!B154)</f>
        <v/>
      </c>
      <c r="C172" s="10">
        <f>IF(Data!C154="","",Data!C154)</f>
        <v/>
      </c>
      <c r="D172" s="11">
        <f>IF(AND(ISNUMBER(B172),ISNUMBER(C172),ISNUMBER($B$7),ISNUMBER($B$8)),$B$8+$B$7*B172,"")</f>
        <v/>
      </c>
      <c r="E172" s="11">
        <f>IF(ISNUMBER(D172),C172-D172,"")</f>
        <v/>
      </c>
    </row>
    <row r="173">
      <c r="A173" s="10">
        <f>IF(Data!A155="","",Data!A155)</f>
        <v/>
      </c>
      <c r="B173" s="10">
        <f>IF(Data!B155="","",Data!B155)</f>
        <v/>
      </c>
      <c r="C173" s="10">
        <f>IF(Data!C155="","",Data!C155)</f>
        <v/>
      </c>
      <c r="D173" s="11">
        <f>IF(AND(ISNUMBER(B173),ISNUMBER(C173),ISNUMBER($B$7),ISNUMBER($B$8)),$B$8+$B$7*B173,"")</f>
        <v/>
      </c>
      <c r="E173" s="11">
        <f>IF(ISNUMBER(D173),C173-D173,"")</f>
        <v/>
      </c>
    </row>
    <row r="174">
      <c r="A174" s="10">
        <f>IF(Data!A156="","",Data!A156)</f>
        <v/>
      </c>
      <c r="B174" s="10">
        <f>IF(Data!B156="","",Data!B156)</f>
        <v/>
      </c>
      <c r="C174" s="10">
        <f>IF(Data!C156="","",Data!C156)</f>
        <v/>
      </c>
      <c r="D174" s="11">
        <f>IF(AND(ISNUMBER(B174),ISNUMBER(C174),ISNUMBER($B$7),ISNUMBER($B$8)),$B$8+$B$7*B174,"")</f>
        <v/>
      </c>
      <c r="E174" s="11">
        <f>IF(ISNUMBER(D174),C174-D174,"")</f>
        <v/>
      </c>
    </row>
    <row r="175">
      <c r="A175" s="10">
        <f>IF(Data!A157="","",Data!A157)</f>
        <v/>
      </c>
      <c r="B175" s="10">
        <f>IF(Data!B157="","",Data!B157)</f>
        <v/>
      </c>
      <c r="C175" s="10">
        <f>IF(Data!C157="","",Data!C157)</f>
        <v/>
      </c>
      <c r="D175" s="11">
        <f>IF(AND(ISNUMBER(B175),ISNUMBER(C175),ISNUMBER($B$7),ISNUMBER($B$8)),$B$8+$B$7*B175,"")</f>
        <v/>
      </c>
      <c r="E175" s="11">
        <f>IF(ISNUMBER(D175),C175-D175,"")</f>
        <v/>
      </c>
    </row>
    <row r="176">
      <c r="A176" s="10">
        <f>IF(Data!A158="","",Data!A158)</f>
        <v/>
      </c>
      <c r="B176" s="10">
        <f>IF(Data!B158="","",Data!B158)</f>
        <v/>
      </c>
      <c r="C176" s="10">
        <f>IF(Data!C158="","",Data!C158)</f>
        <v/>
      </c>
      <c r="D176" s="11">
        <f>IF(AND(ISNUMBER(B176),ISNUMBER(C176),ISNUMBER($B$7),ISNUMBER($B$8)),$B$8+$B$7*B176,"")</f>
        <v/>
      </c>
      <c r="E176" s="11">
        <f>IF(ISNUMBER(D176),C176-D176,"")</f>
        <v/>
      </c>
    </row>
    <row r="177">
      <c r="A177" s="10">
        <f>IF(Data!A159="","",Data!A159)</f>
        <v/>
      </c>
      <c r="B177" s="10">
        <f>IF(Data!B159="","",Data!B159)</f>
        <v/>
      </c>
      <c r="C177" s="10">
        <f>IF(Data!C159="","",Data!C159)</f>
        <v/>
      </c>
      <c r="D177" s="11">
        <f>IF(AND(ISNUMBER(B177),ISNUMBER(C177),ISNUMBER($B$7),ISNUMBER($B$8)),$B$8+$B$7*B177,"")</f>
        <v/>
      </c>
      <c r="E177" s="11">
        <f>IF(ISNUMBER(D177),C177-D177,"")</f>
        <v/>
      </c>
    </row>
    <row r="178">
      <c r="A178" s="10">
        <f>IF(Data!A160="","",Data!A160)</f>
        <v/>
      </c>
      <c r="B178" s="10">
        <f>IF(Data!B160="","",Data!B160)</f>
        <v/>
      </c>
      <c r="C178" s="10">
        <f>IF(Data!C160="","",Data!C160)</f>
        <v/>
      </c>
      <c r="D178" s="11">
        <f>IF(AND(ISNUMBER(B178),ISNUMBER(C178),ISNUMBER($B$7),ISNUMBER($B$8)),$B$8+$B$7*B178,"")</f>
        <v/>
      </c>
      <c r="E178" s="11">
        <f>IF(ISNUMBER(D178),C178-D178,"")</f>
        <v/>
      </c>
    </row>
    <row r="179">
      <c r="A179" s="10">
        <f>IF(Data!A161="","",Data!A161)</f>
        <v/>
      </c>
      <c r="B179" s="10">
        <f>IF(Data!B161="","",Data!B161)</f>
        <v/>
      </c>
      <c r="C179" s="10">
        <f>IF(Data!C161="","",Data!C161)</f>
        <v/>
      </c>
      <c r="D179" s="11">
        <f>IF(AND(ISNUMBER(B179),ISNUMBER(C179),ISNUMBER($B$7),ISNUMBER($B$8)),$B$8+$B$7*B179,"")</f>
        <v/>
      </c>
      <c r="E179" s="11">
        <f>IF(ISNUMBER(D179),C179-D179,"")</f>
        <v/>
      </c>
    </row>
    <row r="180">
      <c r="A180" s="10">
        <f>IF(Data!A162="","",Data!A162)</f>
        <v/>
      </c>
      <c r="B180" s="10">
        <f>IF(Data!B162="","",Data!B162)</f>
        <v/>
      </c>
      <c r="C180" s="10">
        <f>IF(Data!C162="","",Data!C162)</f>
        <v/>
      </c>
      <c r="D180" s="11">
        <f>IF(AND(ISNUMBER(B180),ISNUMBER(C180),ISNUMBER($B$7),ISNUMBER($B$8)),$B$8+$B$7*B180,"")</f>
        <v/>
      </c>
      <c r="E180" s="11">
        <f>IF(ISNUMBER(D180),C180-D180,"")</f>
        <v/>
      </c>
    </row>
    <row r="181">
      <c r="A181" s="10">
        <f>IF(Data!A163="","",Data!A163)</f>
        <v/>
      </c>
      <c r="B181" s="10">
        <f>IF(Data!B163="","",Data!B163)</f>
        <v/>
      </c>
      <c r="C181" s="10">
        <f>IF(Data!C163="","",Data!C163)</f>
        <v/>
      </c>
      <c r="D181" s="11">
        <f>IF(AND(ISNUMBER(B181),ISNUMBER(C181),ISNUMBER($B$7),ISNUMBER($B$8)),$B$8+$B$7*B181,"")</f>
        <v/>
      </c>
      <c r="E181" s="11">
        <f>IF(ISNUMBER(D181),C181-D181,"")</f>
        <v/>
      </c>
    </row>
    <row r="182">
      <c r="A182" s="10">
        <f>IF(Data!A164="","",Data!A164)</f>
        <v/>
      </c>
      <c r="B182" s="10">
        <f>IF(Data!B164="","",Data!B164)</f>
        <v/>
      </c>
      <c r="C182" s="10">
        <f>IF(Data!C164="","",Data!C164)</f>
        <v/>
      </c>
      <c r="D182" s="11">
        <f>IF(AND(ISNUMBER(B182),ISNUMBER(C182),ISNUMBER($B$7),ISNUMBER($B$8)),$B$8+$B$7*B182,"")</f>
        <v/>
      </c>
      <c r="E182" s="11">
        <f>IF(ISNUMBER(D182),C182-D182,"")</f>
        <v/>
      </c>
    </row>
    <row r="183">
      <c r="A183" s="10">
        <f>IF(Data!A165="","",Data!A165)</f>
        <v/>
      </c>
      <c r="B183" s="10">
        <f>IF(Data!B165="","",Data!B165)</f>
        <v/>
      </c>
      <c r="C183" s="10">
        <f>IF(Data!C165="","",Data!C165)</f>
        <v/>
      </c>
      <c r="D183" s="11">
        <f>IF(AND(ISNUMBER(B183),ISNUMBER(C183),ISNUMBER($B$7),ISNUMBER($B$8)),$B$8+$B$7*B183,"")</f>
        <v/>
      </c>
      <c r="E183" s="11">
        <f>IF(ISNUMBER(D183),C183-D183,"")</f>
        <v/>
      </c>
    </row>
    <row r="184">
      <c r="A184" s="10">
        <f>IF(Data!A166="","",Data!A166)</f>
        <v/>
      </c>
      <c r="B184" s="10">
        <f>IF(Data!B166="","",Data!B166)</f>
        <v/>
      </c>
      <c r="C184" s="10">
        <f>IF(Data!C166="","",Data!C166)</f>
        <v/>
      </c>
      <c r="D184" s="11">
        <f>IF(AND(ISNUMBER(B184),ISNUMBER(C184),ISNUMBER($B$7),ISNUMBER($B$8)),$B$8+$B$7*B184,"")</f>
        <v/>
      </c>
      <c r="E184" s="11">
        <f>IF(ISNUMBER(D184),C184-D184,"")</f>
        <v/>
      </c>
    </row>
    <row r="185">
      <c r="A185" s="10">
        <f>IF(Data!A167="","",Data!A167)</f>
        <v/>
      </c>
      <c r="B185" s="10">
        <f>IF(Data!B167="","",Data!B167)</f>
        <v/>
      </c>
      <c r="C185" s="10">
        <f>IF(Data!C167="","",Data!C167)</f>
        <v/>
      </c>
      <c r="D185" s="11">
        <f>IF(AND(ISNUMBER(B185),ISNUMBER(C185),ISNUMBER($B$7),ISNUMBER($B$8)),$B$8+$B$7*B185,"")</f>
        <v/>
      </c>
      <c r="E185" s="11">
        <f>IF(ISNUMBER(D185),C185-D185,"")</f>
        <v/>
      </c>
    </row>
    <row r="186">
      <c r="A186" s="10">
        <f>IF(Data!A168="","",Data!A168)</f>
        <v/>
      </c>
      <c r="B186" s="10">
        <f>IF(Data!B168="","",Data!B168)</f>
        <v/>
      </c>
      <c r="C186" s="10">
        <f>IF(Data!C168="","",Data!C168)</f>
        <v/>
      </c>
      <c r="D186" s="11">
        <f>IF(AND(ISNUMBER(B186),ISNUMBER(C186),ISNUMBER($B$7),ISNUMBER($B$8)),$B$8+$B$7*B186,"")</f>
        <v/>
      </c>
      <c r="E186" s="11">
        <f>IF(ISNUMBER(D186),C186-D186,"")</f>
        <v/>
      </c>
    </row>
    <row r="187">
      <c r="A187" s="10">
        <f>IF(Data!A169="","",Data!A169)</f>
        <v/>
      </c>
      <c r="B187" s="10">
        <f>IF(Data!B169="","",Data!B169)</f>
        <v/>
      </c>
      <c r="C187" s="10">
        <f>IF(Data!C169="","",Data!C169)</f>
        <v/>
      </c>
      <c r="D187" s="11">
        <f>IF(AND(ISNUMBER(B187),ISNUMBER(C187),ISNUMBER($B$7),ISNUMBER($B$8)),$B$8+$B$7*B187,"")</f>
        <v/>
      </c>
      <c r="E187" s="11">
        <f>IF(ISNUMBER(D187),C187-D187,"")</f>
        <v/>
      </c>
    </row>
    <row r="188">
      <c r="A188" s="10">
        <f>IF(Data!A170="","",Data!A170)</f>
        <v/>
      </c>
      <c r="B188" s="10">
        <f>IF(Data!B170="","",Data!B170)</f>
        <v/>
      </c>
      <c r="C188" s="10">
        <f>IF(Data!C170="","",Data!C170)</f>
        <v/>
      </c>
      <c r="D188" s="11">
        <f>IF(AND(ISNUMBER(B188),ISNUMBER(C188),ISNUMBER($B$7),ISNUMBER($B$8)),$B$8+$B$7*B188,"")</f>
        <v/>
      </c>
      <c r="E188" s="11">
        <f>IF(ISNUMBER(D188),C188-D188,"")</f>
        <v/>
      </c>
    </row>
    <row r="189">
      <c r="A189" s="10">
        <f>IF(Data!A171="","",Data!A171)</f>
        <v/>
      </c>
      <c r="B189" s="10">
        <f>IF(Data!B171="","",Data!B171)</f>
        <v/>
      </c>
      <c r="C189" s="10">
        <f>IF(Data!C171="","",Data!C171)</f>
        <v/>
      </c>
      <c r="D189" s="11">
        <f>IF(AND(ISNUMBER(B189),ISNUMBER(C189),ISNUMBER($B$7),ISNUMBER($B$8)),$B$8+$B$7*B189,"")</f>
        <v/>
      </c>
      <c r="E189" s="11">
        <f>IF(ISNUMBER(D189),C189-D189,"")</f>
        <v/>
      </c>
    </row>
    <row r="190">
      <c r="A190" s="10">
        <f>IF(Data!A172="","",Data!A172)</f>
        <v/>
      </c>
      <c r="B190" s="10">
        <f>IF(Data!B172="","",Data!B172)</f>
        <v/>
      </c>
      <c r="C190" s="10">
        <f>IF(Data!C172="","",Data!C172)</f>
        <v/>
      </c>
      <c r="D190" s="11">
        <f>IF(AND(ISNUMBER(B190),ISNUMBER(C190),ISNUMBER($B$7),ISNUMBER($B$8)),$B$8+$B$7*B190,"")</f>
        <v/>
      </c>
      <c r="E190" s="11">
        <f>IF(ISNUMBER(D190),C190-D190,"")</f>
        <v/>
      </c>
    </row>
    <row r="191">
      <c r="A191" s="10">
        <f>IF(Data!A173="","",Data!A173)</f>
        <v/>
      </c>
      <c r="B191" s="10">
        <f>IF(Data!B173="","",Data!B173)</f>
        <v/>
      </c>
      <c r="C191" s="10">
        <f>IF(Data!C173="","",Data!C173)</f>
        <v/>
      </c>
      <c r="D191" s="11">
        <f>IF(AND(ISNUMBER(B191),ISNUMBER(C191),ISNUMBER($B$7),ISNUMBER($B$8)),$B$8+$B$7*B191,"")</f>
        <v/>
      </c>
      <c r="E191" s="11">
        <f>IF(ISNUMBER(D191),C191-D191,"")</f>
        <v/>
      </c>
    </row>
    <row r="192">
      <c r="A192" s="10">
        <f>IF(Data!A174="","",Data!A174)</f>
        <v/>
      </c>
      <c r="B192" s="10">
        <f>IF(Data!B174="","",Data!B174)</f>
        <v/>
      </c>
      <c r="C192" s="10">
        <f>IF(Data!C174="","",Data!C174)</f>
        <v/>
      </c>
      <c r="D192" s="11">
        <f>IF(AND(ISNUMBER(B192),ISNUMBER(C192),ISNUMBER($B$7),ISNUMBER($B$8)),$B$8+$B$7*B192,"")</f>
        <v/>
      </c>
      <c r="E192" s="11">
        <f>IF(ISNUMBER(D192),C192-D192,"")</f>
        <v/>
      </c>
    </row>
    <row r="193">
      <c r="A193" s="10">
        <f>IF(Data!A175="","",Data!A175)</f>
        <v/>
      </c>
      <c r="B193" s="10">
        <f>IF(Data!B175="","",Data!B175)</f>
        <v/>
      </c>
      <c r="C193" s="10">
        <f>IF(Data!C175="","",Data!C175)</f>
        <v/>
      </c>
      <c r="D193" s="11">
        <f>IF(AND(ISNUMBER(B193),ISNUMBER(C193),ISNUMBER($B$7),ISNUMBER($B$8)),$B$8+$B$7*B193,"")</f>
        <v/>
      </c>
      <c r="E193" s="11">
        <f>IF(ISNUMBER(D193),C193-D193,"")</f>
        <v/>
      </c>
    </row>
    <row r="194">
      <c r="A194" s="10">
        <f>IF(Data!A176="","",Data!A176)</f>
        <v/>
      </c>
      <c r="B194" s="10">
        <f>IF(Data!B176="","",Data!B176)</f>
        <v/>
      </c>
      <c r="C194" s="10">
        <f>IF(Data!C176="","",Data!C176)</f>
        <v/>
      </c>
      <c r="D194" s="11">
        <f>IF(AND(ISNUMBER(B194),ISNUMBER(C194),ISNUMBER($B$7),ISNUMBER($B$8)),$B$8+$B$7*B194,"")</f>
        <v/>
      </c>
      <c r="E194" s="11">
        <f>IF(ISNUMBER(D194),C194-D194,"")</f>
        <v/>
      </c>
    </row>
    <row r="195">
      <c r="A195" s="10">
        <f>IF(Data!A177="","",Data!A177)</f>
        <v/>
      </c>
      <c r="B195" s="10">
        <f>IF(Data!B177="","",Data!B177)</f>
        <v/>
      </c>
      <c r="C195" s="10">
        <f>IF(Data!C177="","",Data!C177)</f>
        <v/>
      </c>
      <c r="D195" s="11">
        <f>IF(AND(ISNUMBER(B195),ISNUMBER(C195),ISNUMBER($B$7),ISNUMBER($B$8)),$B$8+$B$7*B195,"")</f>
        <v/>
      </c>
      <c r="E195" s="11">
        <f>IF(ISNUMBER(D195),C195-D195,"")</f>
        <v/>
      </c>
    </row>
    <row r="196">
      <c r="A196" s="10">
        <f>IF(Data!A178="","",Data!A178)</f>
        <v/>
      </c>
      <c r="B196" s="10">
        <f>IF(Data!B178="","",Data!B178)</f>
        <v/>
      </c>
      <c r="C196" s="10">
        <f>IF(Data!C178="","",Data!C178)</f>
        <v/>
      </c>
      <c r="D196" s="11">
        <f>IF(AND(ISNUMBER(B196),ISNUMBER(C196),ISNUMBER($B$7),ISNUMBER($B$8)),$B$8+$B$7*B196,"")</f>
        <v/>
      </c>
      <c r="E196" s="11">
        <f>IF(ISNUMBER(D196),C196-D196,"")</f>
        <v/>
      </c>
    </row>
    <row r="197">
      <c r="A197" s="10">
        <f>IF(Data!A179="","",Data!A179)</f>
        <v/>
      </c>
      <c r="B197" s="10">
        <f>IF(Data!B179="","",Data!B179)</f>
        <v/>
      </c>
      <c r="C197" s="10">
        <f>IF(Data!C179="","",Data!C179)</f>
        <v/>
      </c>
      <c r="D197" s="11">
        <f>IF(AND(ISNUMBER(B197),ISNUMBER(C197),ISNUMBER($B$7),ISNUMBER($B$8)),$B$8+$B$7*B197,"")</f>
        <v/>
      </c>
      <c r="E197" s="11">
        <f>IF(ISNUMBER(D197),C197-D197,"")</f>
        <v/>
      </c>
    </row>
    <row r="198">
      <c r="A198" s="10">
        <f>IF(Data!A180="","",Data!A180)</f>
        <v/>
      </c>
      <c r="B198" s="10">
        <f>IF(Data!B180="","",Data!B180)</f>
        <v/>
      </c>
      <c r="C198" s="10">
        <f>IF(Data!C180="","",Data!C180)</f>
        <v/>
      </c>
      <c r="D198" s="11">
        <f>IF(AND(ISNUMBER(B198),ISNUMBER(C198),ISNUMBER($B$7),ISNUMBER($B$8)),$B$8+$B$7*B198,"")</f>
        <v/>
      </c>
      <c r="E198" s="11">
        <f>IF(ISNUMBER(D198),C198-D198,"")</f>
        <v/>
      </c>
    </row>
    <row r="199">
      <c r="A199" s="10">
        <f>IF(Data!A181="","",Data!A181)</f>
        <v/>
      </c>
      <c r="B199" s="10">
        <f>IF(Data!B181="","",Data!B181)</f>
        <v/>
      </c>
      <c r="C199" s="10">
        <f>IF(Data!C181="","",Data!C181)</f>
        <v/>
      </c>
      <c r="D199" s="11">
        <f>IF(AND(ISNUMBER(B199),ISNUMBER(C199),ISNUMBER($B$7),ISNUMBER($B$8)),$B$8+$B$7*B199,"")</f>
        <v/>
      </c>
      <c r="E199" s="11">
        <f>IF(ISNUMBER(D199),C199-D199,"")</f>
        <v/>
      </c>
    </row>
    <row r="200">
      <c r="A200" s="10">
        <f>IF(Data!A182="","",Data!A182)</f>
        <v/>
      </c>
      <c r="B200" s="10">
        <f>IF(Data!B182="","",Data!B182)</f>
        <v/>
      </c>
      <c r="C200" s="10">
        <f>IF(Data!C182="","",Data!C182)</f>
        <v/>
      </c>
      <c r="D200" s="11">
        <f>IF(AND(ISNUMBER(B200),ISNUMBER(C200),ISNUMBER($B$7),ISNUMBER($B$8)),$B$8+$B$7*B200,"")</f>
        <v/>
      </c>
      <c r="E200" s="11">
        <f>IF(ISNUMBER(D200),C200-D200,"")</f>
        <v/>
      </c>
    </row>
    <row r="201">
      <c r="A201" s="10">
        <f>IF(Data!A183="","",Data!A183)</f>
        <v/>
      </c>
      <c r="B201" s="10">
        <f>IF(Data!B183="","",Data!B183)</f>
        <v/>
      </c>
      <c r="C201" s="10">
        <f>IF(Data!C183="","",Data!C183)</f>
        <v/>
      </c>
      <c r="D201" s="11">
        <f>IF(AND(ISNUMBER(B201),ISNUMBER(C201),ISNUMBER($B$7),ISNUMBER($B$8)),$B$8+$B$7*B201,"")</f>
        <v/>
      </c>
      <c r="E201" s="11">
        <f>IF(ISNUMBER(D201),C201-D201,"")</f>
        <v/>
      </c>
    </row>
    <row r="202">
      <c r="A202" s="10">
        <f>IF(Data!A184="","",Data!A184)</f>
        <v/>
      </c>
      <c r="B202" s="10">
        <f>IF(Data!B184="","",Data!B184)</f>
        <v/>
      </c>
      <c r="C202" s="10">
        <f>IF(Data!C184="","",Data!C184)</f>
        <v/>
      </c>
      <c r="D202" s="11">
        <f>IF(AND(ISNUMBER(B202),ISNUMBER(C202),ISNUMBER($B$7),ISNUMBER($B$8)),$B$8+$B$7*B202,"")</f>
        <v/>
      </c>
      <c r="E202" s="11">
        <f>IF(ISNUMBER(D202),C202-D202,"")</f>
        <v/>
      </c>
    </row>
    <row r="203">
      <c r="A203" s="10">
        <f>IF(Data!A185="","",Data!A185)</f>
        <v/>
      </c>
      <c r="B203" s="10">
        <f>IF(Data!B185="","",Data!B185)</f>
        <v/>
      </c>
      <c r="C203" s="10">
        <f>IF(Data!C185="","",Data!C185)</f>
        <v/>
      </c>
      <c r="D203" s="11">
        <f>IF(AND(ISNUMBER(B203),ISNUMBER(C203),ISNUMBER($B$7),ISNUMBER($B$8)),$B$8+$B$7*B203,"")</f>
        <v/>
      </c>
      <c r="E203" s="11">
        <f>IF(ISNUMBER(D203),C203-D203,"")</f>
        <v/>
      </c>
    </row>
    <row r="204">
      <c r="A204" s="10">
        <f>IF(Data!A186="","",Data!A186)</f>
        <v/>
      </c>
      <c r="B204" s="10">
        <f>IF(Data!B186="","",Data!B186)</f>
        <v/>
      </c>
      <c r="C204" s="10">
        <f>IF(Data!C186="","",Data!C186)</f>
        <v/>
      </c>
      <c r="D204" s="11">
        <f>IF(AND(ISNUMBER(B204),ISNUMBER(C204),ISNUMBER($B$7),ISNUMBER($B$8)),$B$8+$B$7*B204,"")</f>
        <v/>
      </c>
      <c r="E204" s="11">
        <f>IF(ISNUMBER(D204),C204-D204,"")</f>
        <v/>
      </c>
    </row>
    <row r="205">
      <c r="A205" s="10">
        <f>IF(Data!A187="","",Data!A187)</f>
        <v/>
      </c>
      <c r="B205" s="10">
        <f>IF(Data!B187="","",Data!B187)</f>
        <v/>
      </c>
      <c r="C205" s="10">
        <f>IF(Data!C187="","",Data!C187)</f>
        <v/>
      </c>
      <c r="D205" s="11">
        <f>IF(AND(ISNUMBER(B205),ISNUMBER(C205),ISNUMBER($B$7),ISNUMBER($B$8)),$B$8+$B$7*B205,"")</f>
        <v/>
      </c>
      <c r="E205" s="11">
        <f>IF(ISNUMBER(D205),C205-D205,"")</f>
        <v/>
      </c>
    </row>
    <row r="206">
      <c r="A206" s="10">
        <f>IF(Data!A188="","",Data!A188)</f>
        <v/>
      </c>
      <c r="B206" s="10">
        <f>IF(Data!B188="","",Data!B188)</f>
        <v/>
      </c>
      <c r="C206" s="10">
        <f>IF(Data!C188="","",Data!C188)</f>
        <v/>
      </c>
      <c r="D206" s="11">
        <f>IF(AND(ISNUMBER(B206),ISNUMBER(C206),ISNUMBER($B$7),ISNUMBER($B$8)),$B$8+$B$7*B206,"")</f>
        <v/>
      </c>
      <c r="E206" s="11">
        <f>IF(ISNUMBER(D206),C206-D206,"")</f>
        <v/>
      </c>
    </row>
    <row r="207">
      <c r="A207" s="10">
        <f>IF(Data!A189="","",Data!A189)</f>
        <v/>
      </c>
      <c r="B207" s="10">
        <f>IF(Data!B189="","",Data!B189)</f>
        <v/>
      </c>
      <c r="C207" s="10">
        <f>IF(Data!C189="","",Data!C189)</f>
        <v/>
      </c>
      <c r="D207" s="11">
        <f>IF(AND(ISNUMBER(B207),ISNUMBER(C207),ISNUMBER($B$7),ISNUMBER($B$8)),$B$8+$B$7*B207,"")</f>
        <v/>
      </c>
      <c r="E207" s="11">
        <f>IF(ISNUMBER(D207),C207-D207,"")</f>
        <v/>
      </c>
    </row>
    <row r="208">
      <c r="A208" s="10">
        <f>IF(Data!A190="","",Data!A190)</f>
        <v/>
      </c>
      <c r="B208" s="10">
        <f>IF(Data!B190="","",Data!B190)</f>
        <v/>
      </c>
      <c r="C208" s="10">
        <f>IF(Data!C190="","",Data!C190)</f>
        <v/>
      </c>
      <c r="D208" s="11">
        <f>IF(AND(ISNUMBER(B208),ISNUMBER(C208),ISNUMBER($B$7),ISNUMBER($B$8)),$B$8+$B$7*B208,"")</f>
        <v/>
      </c>
      <c r="E208" s="11">
        <f>IF(ISNUMBER(D208),C208-D208,"")</f>
        <v/>
      </c>
    </row>
    <row r="209">
      <c r="A209" s="10">
        <f>IF(Data!A191="","",Data!A191)</f>
        <v/>
      </c>
      <c r="B209" s="10">
        <f>IF(Data!B191="","",Data!B191)</f>
        <v/>
      </c>
      <c r="C209" s="10">
        <f>IF(Data!C191="","",Data!C191)</f>
        <v/>
      </c>
      <c r="D209" s="11">
        <f>IF(AND(ISNUMBER(B209),ISNUMBER(C209),ISNUMBER($B$7),ISNUMBER($B$8)),$B$8+$B$7*B209,"")</f>
        <v/>
      </c>
      <c r="E209" s="11">
        <f>IF(ISNUMBER(D209),C209-D209,"")</f>
        <v/>
      </c>
    </row>
    <row r="210">
      <c r="A210" s="10">
        <f>IF(Data!A192="","",Data!A192)</f>
        <v/>
      </c>
      <c r="B210" s="10">
        <f>IF(Data!B192="","",Data!B192)</f>
        <v/>
      </c>
      <c r="C210" s="10">
        <f>IF(Data!C192="","",Data!C192)</f>
        <v/>
      </c>
      <c r="D210" s="11">
        <f>IF(AND(ISNUMBER(B210),ISNUMBER(C210),ISNUMBER($B$7),ISNUMBER($B$8)),$B$8+$B$7*B210,"")</f>
        <v/>
      </c>
      <c r="E210" s="11">
        <f>IF(ISNUMBER(D210),C210-D210,"")</f>
        <v/>
      </c>
    </row>
    <row r="211">
      <c r="A211" s="10">
        <f>IF(Data!A193="","",Data!A193)</f>
        <v/>
      </c>
      <c r="B211" s="10">
        <f>IF(Data!B193="","",Data!B193)</f>
        <v/>
      </c>
      <c r="C211" s="10">
        <f>IF(Data!C193="","",Data!C193)</f>
        <v/>
      </c>
      <c r="D211" s="11">
        <f>IF(AND(ISNUMBER(B211),ISNUMBER(C211),ISNUMBER($B$7),ISNUMBER($B$8)),$B$8+$B$7*B211,"")</f>
        <v/>
      </c>
      <c r="E211" s="11">
        <f>IF(ISNUMBER(D211),C211-D211,"")</f>
        <v/>
      </c>
    </row>
    <row r="212">
      <c r="A212" s="10">
        <f>IF(Data!A194="","",Data!A194)</f>
        <v/>
      </c>
      <c r="B212" s="10">
        <f>IF(Data!B194="","",Data!B194)</f>
        <v/>
      </c>
      <c r="C212" s="10">
        <f>IF(Data!C194="","",Data!C194)</f>
        <v/>
      </c>
      <c r="D212" s="11">
        <f>IF(AND(ISNUMBER(B212),ISNUMBER(C212),ISNUMBER($B$7),ISNUMBER($B$8)),$B$8+$B$7*B212,"")</f>
        <v/>
      </c>
      <c r="E212" s="11">
        <f>IF(ISNUMBER(D212),C212-D212,"")</f>
        <v/>
      </c>
    </row>
    <row r="213">
      <c r="A213" s="10">
        <f>IF(Data!A195="","",Data!A195)</f>
        <v/>
      </c>
      <c r="B213" s="10">
        <f>IF(Data!B195="","",Data!B195)</f>
        <v/>
      </c>
      <c r="C213" s="10">
        <f>IF(Data!C195="","",Data!C195)</f>
        <v/>
      </c>
      <c r="D213" s="11">
        <f>IF(AND(ISNUMBER(B213),ISNUMBER(C213),ISNUMBER($B$7),ISNUMBER($B$8)),$B$8+$B$7*B213,"")</f>
        <v/>
      </c>
      <c r="E213" s="11">
        <f>IF(ISNUMBER(D213),C213-D213,"")</f>
        <v/>
      </c>
    </row>
    <row r="214">
      <c r="A214" s="10">
        <f>IF(Data!A196="","",Data!A196)</f>
        <v/>
      </c>
      <c r="B214" s="10">
        <f>IF(Data!B196="","",Data!B196)</f>
        <v/>
      </c>
      <c r="C214" s="10">
        <f>IF(Data!C196="","",Data!C196)</f>
        <v/>
      </c>
      <c r="D214" s="11">
        <f>IF(AND(ISNUMBER(B214),ISNUMBER(C214),ISNUMBER($B$7),ISNUMBER($B$8)),$B$8+$B$7*B214,"")</f>
        <v/>
      </c>
      <c r="E214" s="11">
        <f>IF(ISNUMBER(D214),C214-D214,"")</f>
        <v/>
      </c>
    </row>
    <row r="215">
      <c r="A215" s="10">
        <f>IF(Data!A197="","",Data!A197)</f>
        <v/>
      </c>
      <c r="B215" s="10">
        <f>IF(Data!B197="","",Data!B197)</f>
        <v/>
      </c>
      <c r="C215" s="10">
        <f>IF(Data!C197="","",Data!C197)</f>
        <v/>
      </c>
      <c r="D215" s="11">
        <f>IF(AND(ISNUMBER(B215),ISNUMBER(C215),ISNUMBER($B$7),ISNUMBER($B$8)),$B$8+$B$7*B215,"")</f>
        <v/>
      </c>
      <c r="E215" s="11">
        <f>IF(ISNUMBER(D215),C215-D215,"")</f>
        <v/>
      </c>
    </row>
    <row r="216">
      <c r="A216" s="10">
        <f>IF(Data!A198="","",Data!A198)</f>
        <v/>
      </c>
      <c r="B216" s="10">
        <f>IF(Data!B198="","",Data!B198)</f>
        <v/>
      </c>
      <c r="C216" s="10">
        <f>IF(Data!C198="","",Data!C198)</f>
        <v/>
      </c>
      <c r="D216" s="11">
        <f>IF(AND(ISNUMBER(B216),ISNUMBER(C216),ISNUMBER($B$7),ISNUMBER($B$8)),$B$8+$B$7*B216,"")</f>
        <v/>
      </c>
      <c r="E216" s="11">
        <f>IF(ISNUMBER(D216),C216-D216,"")</f>
        <v/>
      </c>
    </row>
    <row r="217">
      <c r="A217" s="10">
        <f>IF(Data!A199="","",Data!A199)</f>
        <v/>
      </c>
      <c r="B217" s="10">
        <f>IF(Data!B199="","",Data!B199)</f>
        <v/>
      </c>
      <c r="C217" s="10">
        <f>IF(Data!C199="","",Data!C199)</f>
        <v/>
      </c>
      <c r="D217" s="11">
        <f>IF(AND(ISNUMBER(B217),ISNUMBER(C217),ISNUMBER($B$7),ISNUMBER($B$8)),$B$8+$B$7*B217,"")</f>
        <v/>
      </c>
      <c r="E217" s="11">
        <f>IF(ISNUMBER(D217),C217-D217,"")</f>
        <v/>
      </c>
    </row>
    <row r="218">
      <c r="A218" s="10">
        <f>IF(Data!A200="","",Data!A200)</f>
        <v/>
      </c>
      <c r="B218" s="10">
        <f>IF(Data!B200="","",Data!B200)</f>
        <v/>
      </c>
      <c r="C218" s="10">
        <f>IF(Data!C200="","",Data!C200)</f>
        <v/>
      </c>
      <c r="D218" s="11">
        <f>IF(AND(ISNUMBER(B218),ISNUMBER(C218),ISNUMBER($B$7),ISNUMBER($B$8)),$B$8+$B$7*B218,"")</f>
        <v/>
      </c>
      <c r="E218" s="11">
        <f>IF(ISNUMBER(D218),C218-D218,"")</f>
        <v/>
      </c>
    </row>
    <row r="219">
      <c r="A219" s="10">
        <f>IF(Data!A201="","",Data!A201)</f>
        <v/>
      </c>
      <c r="B219" s="10">
        <f>IF(Data!B201="","",Data!B201)</f>
        <v/>
      </c>
      <c r="C219" s="10">
        <f>IF(Data!C201="","",Data!C201)</f>
        <v/>
      </c>
      <c r="D219" s="11">
        <f>IF(AND(ISNUMBER(B219),ISNUMBER(C219),ISNUMBER($B$7),ISNUMBER($B$8)),$B$8+$B$7*B219,"")</f>
        <v/>
      </c>
      <c r="E219" s="11">
        <f>IF(ISNUMBER(D219),C219-D219,"")</f>
        <v/>
      </c>
    </row>
    <row r="220">
      <c r="A220" s="10">
        <f>IF(Data!A202="","",Data!A202)</f>
        <v/>
      </c>
      <c r="B220" s="10">
        <f>IF(Data!B202="","",Data!B202)</f>
        <v/>
      </c>
      <c r="C220" s="10">
        <f>IF(Data!C202="","",Data!C202)</f>
        <v/>
      </c>
      <c r="D220" s="11">
        <f>IF(AND(ISNUMBER(B220),ISNUMBER(C220),ISNUMBER($B$7),ISNUMBER($B$8)),$B$8+$B$7*B220,"")</f>
        <v/>
      </c>
      <c r="E220" s="11">
        <f>IF(ISNUMBER(D220),C220-D220,"")</f>
        <v/>
      </c>
    </row>
    <row r="221">
      <c r="A221" s="10">
        <f>IF(Data!A203="","",Data!A203)</f>
        <v/>
      </c>
      <c r="B221" s="10">
        <f>IF(Data!B203="","",Data!B203)</f>
        <v/>
      </c>
      <c r="C221" s="10">
        <f>IF(Data!C203="","",Data!C203)</f>
        <v/>
      </c>
      <c r="D221" s="11">
        <f>IF(AND(ISNUMBER(B221),ISNUMBER(C221),ISNUMBER($B$7),ISNUMBER($B$8)),$B$8+$B$7*B221,"")</f>
        <v/>
      </c>
      <c r="E221" s="11">
        <f>IF(ISNUMBER(D221),C221-D221,"")</f>
        <v/>
      </c>
    </row>
    <row r="222">
      <c r="A222" s="10">
        <f>IF(Data!A204="","",Data!A204)</f>
        <v/>
      </c>
      <c r="B222" s="10">
        <f>IF(Data!B204="","",Data!B204)</f>
        <v/>
      </c>
      <c r="C222" s="10">
        <f>IF(Data!C204="","",Data!C204)</f>
        <v/>
      </c>
      <c r="D222" s="11">
        <f>IF(AND(ISNUMBER(B222),ISNUMBER(C222),ISNUMBER($B$7),ISNUMBER($B$8)),$B$8+$B$7*B222,"")</f>
        <v/>
      </c>
      <c r="E222" s="11">
        <f>IF(ISNUMBER(D222),C222-D222,"")</f>
        <v/>
      </c>
    </row>
    <row r="223">
      <c r="A223" s="10">
        <f>IF(Data!A205="","",Data!A205)</f>
        <v/>
      </c>
      <c r="B223" s="10">
        <f>IF(Data!B205="","",Data!B205)</f>
        <v/>
      </c>
      <c r="C223" s="10">
        <f>IF(Data!C205="","",Data!C205)</f>
        <v/>
      </c>
      <c r="D223" s="11">
        <f>IF(AND(ISNUMBER(B223),ISNUMBER(C223),ISNUMBER($B$7),ISNUMBER($B$8)),$B$8+$B$7*B223,"")</f>
        <v/>
      </c>
      <c r="E223" s="11">
        <f>IF(ISNUMBER(D223),C223-D223,"")</f>
        <v/>
      </c>
    </row>
    <row r="224">
      <c r="A224" s="10">
        <f>IF(Data!A206="","",Data!A206)</f>
        <v/>
      </c>
      <c r="B224" s="10">
        <f>IF(Data!B206="","",Data!B206)</f>
        <v/>
      </c>
      <c r="C224" s="10">
        <f>IF(Data!C206="","",Data!C206)</f>
        <v/>
      </c>
      <c r="D224" s="11">
        <f>IF(AND(ISNUMBER(B224),ISNUMBER(C224),ISNUMBER($B$7),ISNUMBER($B$8)),$B$8+$B$7*B224,"")</f>
        <v/>
      </c>
      <c r="E224" s="11">
        <f>IF(ISNUMBER(D224),C224-D224,"")</f>
        <v/>
      </c>
    </row>
    <row r="225">
      <c r="A225" s="10">
        <f>IF(Data!A207="","",Data!A207)</f>
        <v/>
      </c>
      <c r="B225" s="10">
        <f>IF(Data!B207="","",Data!B207)</f>
        <v/>
      </c>
      <c r="C225" s="10">
        <f>IF(Data!C207="","",Data!C207)</f>
        <v/>
      </c>
      <c r="D225" s="11">
        <f>IF(AND(ISNUMBER(B225),ISNUMBER(C225),ISNUMBER($B$7),ISNUMBER($B$8)),$B$8+$B$7*B225,"")</f>
        <v/>
      </c>
      <c r="E225" s="11">
        <f>IF(ISNUMBER(D225),C225-D225,"")</f>
        <v/>
      </c>
    </row>
    <row r="226">
      <c r="A226" s="10">
        <f>IF(Data!A208="","",Data!A208)</f>
        <v/>
      </c>
      <c r="B226" s="10">
        <f>IF(Data!B208="","",Data!B208)</f>
        <v/>
      </c>
      <c r="C226" s="10">
        <f>IF(Data!C208="","",Data!C208)</f>
        <v/>
      </c>
      <c r="D226" s="11">
        <f>IF(AND(ISNUMBER(B226),ISNUMBER(C226),ISNUMBER($B$7),ISNUMBER($B$8)),$B$8+$B$7*B226,"")</f>
        <v/>
      </c>
      <c r="E226" s="11">
        <f>IF(ISNUMBER(D226),C226-D226,"")</f>
        <v/>
      </c>
    </row>
    <row r="227">
      <c r="A227" s="10">
        <f>IF(Data!A209="","",Data!A209)</f>
        <v/>
      </c>
      <c r="B227" s="10">
        <f>IF(Data!B209="","",Data!B209)</f>
        <v/>
      </c>
      <c r="C227" s="10">
        <f>IF(Data!C209="","",Data!C209)</f>
        <v/>
      </c>
      <c r="D227" s="11">
        <f>IF(AND(ISNUMBER(B227),ISNUMBER(C227),ISNUMBER($B$7),ISNUMBER($B$8)),$B$8+$B$7*B227,"")</f>
        <v/>
      </c>
      <c r="E227" s="11">
        <f>IF(ISNUMBER(D227),C227-D227,"")</f>
        <v/>
      </c>
    </row>
    <row r="228">
      <c r="A228" s="10">
        <f>IF(Data!A210="","",Data!A210)</f>
        <v/>
      </c>
      <c r="B228" s="10">
        <f>IF(Data!B210="","",Data!B210)</f>
        <v/>
      </c>
      <c r="C228" s="10">
        <f>IF(Data!C210="","",Data!C210)</f>
        <v/>
      </c>
      <c r="D228" s="11">
        <f>IF(AND(ISNUMBER(B228),ISNUMBER(C228),ISNUMBER($B$7),ISNUMBER($B$8)),$B$8+$B$7*B228,"")</f>
        <v/>
      </c>
      <c r="E228" s="11">
        <f>IF(ISNUMBER(D228),C228-D228,"")</f>
        <v/>
      </c>
    </row>
    <row r="229">
      <c r="A229" s="10">
        <f>IF(Data!A211="","",Data!A211)</f>
        <v/>
      </c>
      <c r="B229" s="10">
        <f>IF(Data!B211="","",Data!B211)</f>
        <v/>
      </c>
      <c r="C229" s="10">
        <f>IF(Data!C211="","",Data!C211)</f>
        <v/>
      </c>
      <c r="D229" s="11">
        <f>IF(AND(ISNUMBER(B229),ISNUMBER(C229),ISNUMBER($B$7),ISNUMBER($B$8)),$B$8+$B$7*B229,"")</f>
        <v/>
      </c>
      <c r="E229" s="11">
        <f>IF(ISNUMBER(D229),C229-D229,"")</f>
        <v/>
      </c>
    </row>
    <row r="230">
      <c r="A230" s="10">
        <f>IF(Data!A212="","",Data!A212)</f>
        <v/>
      </c>
      <c r="B230" s="10">
        <f>IF(Data!B212="","",Data!B212)</f>
        <v/>
      </c>
      <c r="C230" s="10">
        <f>IF(Data!C212="","",Data!C212)</f>
        <v/>
      </c>
      <c r="D230" s="11">
        <f>IF(AND(ISNUMBER(B230),ISNUMBER(C230),ISNUMBER($B$7),ISNUMBER($B$8)),$B$8+$B$7*B230,"")</f>
        <v/>
      </c>
      <c r="E230" s="11">
        <f>IF(ISNUMBER(D230),C230-D230,"")</f>
        <v/>
      </c>
    </row>
    <row r="231">
      <c r="A231" s="10">
        <f>IF(Data!A213="","",Data!A213)</f>
        <v/>
      </c>
      <c r="B231" s="10">
        <f>IF(Data!B213="","",Data!B213)</f>
        <v/>
      </c>
      <c r="C231" s="10">
        <f>IF(Data!C213="","",Data!C213)</f>
        <v/>
      </c>
      <c r="D231" s="11">
        <f>IF(AND(ISNUMBER(B231),ISNUMBER(C231),ISNUMBER($B$7),ISNUMBER($B$8)),$B$8+$B$7*B231,"")</f>
        <v/>
      </c>
      <c r="E231" s="11">
        <f>IF(ISNUMBER(D231),C231-D231,"")</f>
        <v/>
      </c>
    </row>
    <row r="232">
      <c r="A232" s="10">
        <f>IF(Data!A214="","",Data!A214)</f>
        <v/>
      </c>
      <c r="B232" s="10">
        <f>IF(Data!B214="","",Data!B214)</f>
        <v/>
      </c>
      <c r="C232" s="10">
        <f>IF(Data!C214="","",Data!C214)</f>
        <v/>
      </c>
      <c r="D232" s="11">
        <f>IF(AND(ISNUMBER(B232),ISNUMBER(C232),ISNUMBER($B$7),ISNUMBER($B$8)),$B$8+$B$7*B232,"")</f>
        <v/>
      </c>
      <c r="E232" s="11">
        <f>IF(ISNUMBER(D232),C232-D232,"")</f>
        <v/>
      </c>
    </row>
    <row r="233">
      <c r="A233" s="10">
        <f>IF(Data!A215="","",Data!A215)</f>
        <v/>
      </c>
      <c r="B233" s="10">
        <f>IF(Data!B215="","",Data!B215)</f>
        <v/>
      </c>
      <c r="C233" s="10">
        <f>IF(Data!C215="","",Data!C215)</f>
        <v/>
      </c>
      <c r="D233" s="11">
        <f>IF(AND(ISNUMBER(B233),ISNUMBER(C233),ISNUMBER($B$7),ISNUMBER($B$8)),$B$8+$B$7*B233,"")</f>
        <v/>
      </c>
      <c r="E233" s="11">
        <f>IF(ISNUMBER(D233),C233-D233,"")</f>
        <v/>
      </c>
    </row>
    <row r="234">
      <c r="A234" s="10">
        <f>IF(Data!A216="","",Data!A216)</f>
        <v/>
      </c>
      <c r="B234" s="10">
        <f>IF(Data!B216="","",Data!B216)</f>
        <v/>
      </c>
      <c r="C234" s="10">
        <f>IF(Data!C216="","",Data!C216)</f>
        <v/>
      </c>
      <c r="D234" s="11">
        <f>IF(AND(ISNUMBER(B234),ISNUMBER(C234),ISNUMBER($B$7),ISNUMBER($B$8)),$B$8+$B$7*B234,"")</f>
        <v/>
      </c>
      <c r="E234" s="11">
        <f>IF(ISNUMBER(D234),C234-D234,"")</f>
        <v/>
      </c>
    </row>
    <row r="235">
      <c r="A235" s="10">
        <f>IF(Data!A217="","",Data!A217)</f>
        <v/>
      </c>
      <c r="B235" s="10">
        <f>IF(Data!B217="","",Data!B217)</f>
        <v/>
      </c>
      <c r="C235" s="10">
        <f>IF(Data!C217="","",Data!C217)</f>
        <v/>
      </c>
      <c r="D235" s="11">
        <f>IF(AND(ISNUMBER(B235),ISNUMBER(C235),ISNUMBER($B$7),ISNUMBER($B$8)),$B$8+$B$7*B235,"")</f>
        <v/>
      </c>
      <c r="E235" s="11">
        <f>IF(ISNUMBER(D235),C235-D235,"")</f>
        <v/>
      </c>
    </row>
    <row r="236">
      <c r="A236" s="10">
        <f>IF(Data!A218="","",Data!A218)</f>
        <v/>
      </c>
      <c r="B236" s="10">
        <f>IF(Data!B218="","",Data!B218)</f>
        <v/>
      </c>
      <c r="C236" s="10">
        <f>IF(Data!C218="","",Data!C218)</f>
        <v/>
      </c>
      <c r="D236" s="11">
        <f>IF(AND(ISNUMBER(B236),ISNUMBER(C236),ISNUMBER($B$7),ISNUMBER($B$8)),$B$8+$B$7*B236,"")</f>
        <v/>
      </c>
      <c r="E236" s="11">
        <f>IF(ISNUMBER(D236),C236-D236,"")</f>
        <v/>
      </c>
    </row>
    <row r="237">
      <c r="A237" s="10">
        <f>IF(Data!A219="","",Data!A219)</f>
        <v/>
      </c>
      <c r="B237" s="10">
        <f>IF(Data!B219="","",Data!B219)</f>
        <v/>
      </c>
      <c r="C237" s="10">
        <f>IF(Data!C219="","",Data!C219)</f>
        <v/>
      </c>
      <c r="D237" s="11">
        <f>IF(AND(ISNUMBER(B237),ISNUMBER(C237),ISNUMBER($B$7),ISNUMBER($B$8)),$B$8+$B$7*B237,"")</f>
        <v/>
      </c>
      <c r="E237" s="11">
        <f>IF(ISNUMBER(D237),C237-D237,"")</f>
        <v/>
      </c>
    </row>
    <row r="238">
      <c r="A238" s="10">
        <f>IF(Data!A220="","",Data!A220)</f>
        <v/>
      </c>
      <c r="B238" s="10">
        <f>IF(Data!B220="","",Data!B220)</f>
        <v/>
      </c>
      <c r="C238" s="10">
        <f>IF(Data!C220="","",Data!C220)</f>
        <v/>
      </c>
      <c r="D238" s="11">
        <f>IF(AND(ISNUMBER(B238),ISNUMBER(C238),ISNUMBER($B$7),ISNUMBER($B$8)),$B$8+$B$7*B238,"")</f>
        <v/>
      </c>
      <c r="E238" s="11">
        <f>IF(ISNUMBER(D238),C238-D238,"")</f>
        <v/>
      </c>
    </row>
    <row r="239">
      <c r="A239" s="10">
        <f>IF(Data!A221="","",Data!A221)</f>
        <v/>
      </c>
      <c r="B239" s="10">
        <f>IF(Data!B221="","",Data!B221)</f>
        <v/>
      </c>
      <c r="C239" s="10">
        <f>IF(Data!C221="","",Data!C221)</f>
        <v/>
      </c>
      <c r="D239" s="11">
        <f>IF(AND(ISNUMBER(B239),ISNUMBER(C239),ISNUMBER($B$7),ISNUMBER($B$8)),$B$8+$B$7*B239,"")</f>
        <v/>
      </c>
      <c r="E239" s="11">
        <f>IF(ISNUMBER(D239),C239-D239,"")</f>
        <v/>
      </c>
    </row>
    <row r="240">
      <c r="A240" s="10">
        <f>IF(Data!A222="","",Data!A222)</f>
        <v/>
      </c>
      <c r="B240" s="10">
        <f>IF(Data!B222="","",Data!B222)</f>
        <v/>
      </c>
      <c r="C240" s="10">
        <f>IF(Data!C222="","",Data!C222)</f>
        <v/>
      </c>
      <c r="D240" s="11">
        <f>IF(AND(ISNUMBER(B240),ISNUMBER(C240),ISNUMBER($B$7),ISNUMBER($B$8)),$B$8+$B$7*B240,"")</f>
        <v/>
      </c>
      <c r="E240" s="11">
        <f>IF(ISNUMBER(D240),C240-D240,"")</f>
        <v/>
      </c>
    </row>
    <row r="241">
      <c r="A241" s="10">
        <f>IF(Data!A223="","",Data!A223)</f>
        <v/>
      </c>
      <c r="B241" s="10">
        <f>IF(Data!B223="","",Data!B223)</f>
        <v/>
      </c>
      <c r="C241" s="10">
        <f>IF(Data!C223="","",Data!C223)</f>
        <v/>
      </c>
      <c r="D241" s="11">
        <f>IF(AND(ISNUMBER(B241),ISNUMBER(C241),ISNUMBER($B$7),ISNUMBER($B$8)),$B$8+$B$7*B241,"")</f>
        <v/>
      </c>
      <c r="E241" s="11">
        <f>IF(ISNUMBER(D241),C241-D241,"")</f>
        <v/>
      </c>
    </row>
    <row r="242">
      <c r="A242" s="10">
        <f>IF(Data!A224="","",Data!A224)</f>
        <v/>
      </c>
      <c r="B242" s="10">
        <f>IF(Data!B224="","",Data!B224)</f>
        <v/>
      </c>
      <c r="C242" s="10">
        <f>IF(Data!C224="","",Data!C224)</f>
        <v/>
      </c>
      <c r="D242" s="11">
        <f>IF(AND(ISNUMBER(B242),ISNUMBER(C242),ISNUMBER($B$7),ISNUMBER($B$8)),$B$8+$B$7*B242,"")</f>
        <v/>
      </c>
      <c r="E242" s="11">
        <f>IF(ISNUMBER(D242),C242-D242,"")</f>
        <v/>
      </c>
    </row>
    <row r="243">
      <c r="A243" s="10">
        <f>IF(Data!A225="","",Data!A225)</f>
        <v/>
      </c>
      <c r="B243" s="10">
        <f>IF(Data!B225="","",Data!B225)</f>
        <v/>
      </c>
      <c r="C243" s="10">
        <f>IF(Data!C225="","",Data!C225)</f>
        <v/>
      </c>
      <c r="D243" s="11">
        <f>IF(AND(ISNUMBER(B243),ISNUMBER(C243),ISNUMBER($B$7),ISNUMBER($B$8)),$B$8+$B$7*B243,"")</f>
        <v/>
      </c>
      <c r="E243" s="11">
        <f>IF(ISNUMBER(D243),C243-D243,"")</f>
        <v/>
      </c>
    </row>
    <row r="244">
      <c r="A244" s="10">
        <f>IF(Data!A226="","",Data!A226)</f>
        <v/>
      </c>
      <c r="B244" s="10">
        <f>IF(Data!B226="","",Data!B226)</f>
        <v/>
      </c>
      <c r="C244" s="10">
        <f>IF(Data!C226="","",Data!C226)</f>
        <v/>
      </c>
      <c r="D244" s="11">
        <f>IF(AND(ISNUMBER(B244),ISNUMBER(C244),ISNUMBER($B$7),ISNUMBER($B$8)),$B$8+$B$7*B244,"")</f>
        <v/>
      </c>
      <c r="E244" s="11">
        <f>IF(ISNUMBER(D244),C244-D244,"")</f>
        <v/>
      </c>
    </row>
    <row r="245">
      <c r="A245" s="10">
        <f>IF(Data!A227="","",Data!A227)</f>
        <v/>
      </c>
      <c r="B245" s="10">
        <f>IF(Data!B227="","",Data!B227)</f>
        <v/>
      </c>
      <c r="C245" s="10">
        <f>IF(Data!C227="","",Data!C227)</f>
        <v/>
      </c>
      <c r="D245" s="11">
        <f>IF(AND(ISNUMBER(B245),ISNUMBER(C245),ISNUMBER($B$7),ISNUMBER($B$8)),$B$8+$B$7*B245,"")</f>
        <v/>
      </c>
      <c r="E245" s="11">
        <f>IF(ISNUMBER(D245),C245-D245,"")</f>
        <v/>
      </c>
    </row>
    <row r="246">
      <c r="A246" s="10">
        <f>IF(Data!A228="","",Data!A228)</f>
        <v/>
      </c>
      <c r="B246" s="10">
        <f>IF(Data!B228="","",Data!B228)</f>
        <v/>
      </c>
      <c r="C246" s="10">
        <f>IF(Data!C228="","",Data!C228)</f>
        <v/>
      </c>
      <c r="D246" s="11">
        <f>IF(AND(ISNUMBER(B246),ISNUMBER(C246),ISNUMBER($B$7),ISNUMBER($B$8)),$B$8+$B$7*B246,"")</f>
        <v/>
      </c>
      <c r="E246" s="11">
        <f>IF(ISNUMBER(D246),C246-D246,"")</f>
        <v/>
      </c>
    </row>
    <row r="247">
      <c r="A247" s="10">
        <f>IF(Data!A229="","",Data!A229)</f>
        <v/>
      </c>
      <c r="B247" s="10">
        <f>IF(Data!B229="","",Data!B229)</f>
        <v/>
      </c>
      <c r="C247" s="10">
        <f>IF(Data!C229="","",Data!C229)</f>
        <v/>
      </c>
      <c r="D247" s="11">
        <f>IF(AND(ISNUMBER(B247),ISNUMBER(C247),ISNUMBER($B$7),ISNUMBER($B$8)),$B$8+$B$7*B247,"")</f>
        <v/>
      </c>
      <c r="E247" s="11">
        <f>IF(ISNUMBER(D247),C247-D247,"")</f>
        <v/>
      </c>
    </row>
    <row r="248">
      <c r="A248" s="10">
        <f>IF(Data!A230="","",Data!A230)</f>
        <v/>
      </c>
      <c r="B248" s="10">
        <f>IF(Data!B230="","",Data!B230)</f>
        <v/>
      </c>
      <c r="C248" s="10">
        <f>IF(Data!C230="","",Data!C230)</f>
        <v/>
      </c>
      <c r="D248" s="11">
        <f>IF(AND(ISNUMBER(B248),ISNUMBER(C248),ISNUMBER($B$7),ISNUMBER($B$8)),$B$8+$B$7*B248,"")</f>
        <v/>
      </c>
      <c r="E248" s="11">
        <f>IF(ISNUMBER(D248),C248-D248,"")</f>
        <v/>
      </c>
    </row>
    <row r="249">
      <c r="A249" s="10">
        <f>IF(Data!A231="","",Data!A231)</f>
        <v/>
      </c>
      <c r="B249" s="10">
        <f>IF(Data!B231="","",Data!B231)</f>
        <v/>
      </c>
      <c r="C249" s="10">
        <f>IF(Data!C231="","",Data!C231)</f>
        <v/>
      </c>
      <c r="D249" s="11">
        <f>IF(AND(ISNUMBER(B249),ISNUMBER(C249),ISNUMBER($B$7),ISNUMBER($B$8)),$B$8+$B$7*B249,"")</f>
        <v/>
      </c>
      <c r="E249" s="11">
        <f>IF(ISNUMBER(D249),C249-D249,"")</f>
        <v/>
      </c>
    </row>
    <row r="250">
      <c r="A250" s="10">
        <f>IF(Data!A232="","",Data!A232)</f>
        <v/>
      </c>
      <c r="B250" s="10">
        <f>IF(Data!B232="","",Data!B232)</f>
        <v/>
      </c>
      <c r="C250" s="10">
        <f>IF(Data!C232="","",Data!C232)</f>
        <v/>
      </c>
      <c r="D250" s="11">
        <f>IF(AND(ISNUMBER(B250),ISNUMBER(C250),ISNUMBER($B$7),ISNUMBER($B$8)),$B$8+$B$7*B250,"")</f>
        <v/>
      </c>
      <c r="E250" s="11">
        <f>IF(ISNUMBER(D250),C250-D250,"")</f>
        <v/>
      </c>
    </row>
    <row r="251">
      <c r="A251" s="10">
        <f>IF(Data!A233="","",Data!A233)</f>
        <v/>
      </c>
      <c r="B251" s="10">
        <f>IF(Data!B233="","",Data!B233)</f>
        <v/>
      </c>
      <c r="C251" s="10">
        <f>IF(Data!C233="","",Data!C233)</f>
        <v/>
      </c>
      <c r="D251" s="11">
        <f>IF(AND(ISNUMBER(B251),ISNUMBER(C251),ISNUMBER($B$7),ISNUMBER($B$8)),$B$8+$B$7*B251,"")</f>
        <v/>
      </c>
      <c r="E251" s="11">
        <f>IF(ISNUMBER(D251),C251-D251,"")</f>
        <v/>
      </c>
    </row>
    <row r="252">
      <c r="A252" s="10">
        <f>IF(Data!A234="","",Data!A234)</f>
        <v/>
      </c>
      <c r="B252" s="10">
        <f>IF(Data!B234="","",Data!B234)</f>
        <v/>
      </c>
      <c r="C252" s="10">
        <f>IF(Data!C234="","",Data!C234)</f>
        <v/>
      </c>
      <c r="D252" s="11">
        <f>IF(AND(ISNUMBER(B252),ISNUMBER(C252),ISNUMBER($B$7),ISNUMBER($B$8)),$B$8+$B$7*B252,"")</f>
        <v/>
      </c>
      <c r="E252" s="11">
        <f>IF(ISNUMBER(D252),C252-D252,"")</f>
        <v/>
      </c>
    </row>
    <row r="253">
      <c r="A253" s="10">
        <f>IF(Data!A235="","",Data!A235)</f>
        <v/>
      </c>
      <c r="B253" s="10">
        <f>IF(Data!B235="","",Data!B235)</f>
        <v/>
      </c>
      <c r="C253" s="10">
        <f>IF(Data!C235="","",Data!C235)</f>
        <v/>
      </c>
      <c r="D253" s="11">
        <f>IF(AND(ISNUMBER(B253),ISNUMBER(C253),ISNUMBER($B$7),ISNUMBER($B$8)),$B$8+$B$7*B253,"")</f>
        <v/>
      </c>
      <c r="E253" s="11">
        <f>IF(ISNUMBER(D253),C253-D253,"")</f>
        <v/>
      </c>
    </row>
    <row r="254">
      <c r="A254" s="10">
        <f>IF(Data!A236="","",Data!A236)</f>
        <v/>
      </c>
      <c r="B254" s="10">
        <f>IF(Data!B236="","",Data!B236)</f>
        <v/>
      </c>
      <c r="C254" s="10">
        <f>IF(Data!C236="","",Data!C236)</f>
        <v/>
      </c>
      <c r="D254" s="11">
        <f>IF(AND(ISNUMBER(B254),ISNUMBER(C254),ISNUMBER($B$7),ISNUMBER($B$8)),$B$8+$B$7*B254,"")</f>
        <v/>
      </c>
      <c r="E254" s="11">
        <f>IF(ISNUMBER(D254),C254-D254,"")</f>
        <v/>
      </c>
    </row>
    <row r="255">
      <c r="A255" s="10">
        <f>IF(Data!A237="","",Data!A237)</f>
        <v/>
      </c>
      <c r="B255" s="10">
        <f>IF(Data!B237="","",Data!B237)</f>
        <v/>
      </c>
      <c r="C255" s="10">
        <f>IF(Data!C237="","",Data!C237)</f>
        <v/>
      </c>
      <c r="D255" s="11">
        <f>IF(AND(ISNUMBER(B255),ISNUMBER(C255),ISNUMBER($B$7),ISNUMBER($B$8)),$B$8+$B$7*B255,"")</f>
        <v/>
      </c>
      <c r="E255" s="11">
        <f>IF(ISNUMBER(D255),C255-D255,"")</f>
        <v/>
      </c>
    </row>
    <row r="256">
      <c r="A256" s="10">
        <f>IF(Data!A238="","",Data!A238)</f>
        <v/>
      </c>
      <c r="B256" s="10">
        <f>IF(Data!B238="","",Data!B238)</f>
        <v/>
      </c>
      <c r="C256" s="10">
        <f>IF(Data!C238="","",Data!C238)</f>
        <v/>
      </c>
      <c r="D256" s="11">
        <f>IF(AND(ISNUMBER(B256),ISNUMBER(C256),ISNUMBER($B$7),ISNUMBER($B$8)),$B$8+$B$7*B256,"")</f>
        <v/>
      </c>
      <c r="E256" s="11">
        <f>IF(ISNUMBER(D256),C256-D256,"")</f>
        <v/>
      </c>
    </row>
    <row r="257">
      <c r="A257" s="10">
        <f>IF(Data!A239="","",Data!A239)</f>
        <v/>
      </c>
      <c r="B257" s="10">
        <f>IF(Data!B239="","",Data!B239)</f>
        <v/>
      </c>
      <c r="C257" s="10">
        <f>IF(Data!C239="","",Data!C239)</f>
        <v/>
      </c>
      <c r="D257" s="11">
        <f>IF(AND(ISNUMBER(B257),ISNUMBER(C257),ISNUMBER($B$7),ISNUMBER($B$8)),$B$8+$B$7*B257,"")</f>
        <v/>
      </c>
      <c r="E257" s="11">
        <f>IF(ISNUMBER(D257),C257-D257,"")</f>
        <v/>
      </c>
    </row>
    <row r="258">
      <c r="A258" s="10">
        <f>IF(Data!A240="","",Data!A240)</f>
        <v/>
      </c>
      <c r="B258" s="10">
        <f>IF(Data!B240="","",Data!B240)</f>
        <v/>
      </c>
      <c r="C258" s="10">
        <f>IF(Data!C240="","",Data!C240)</f>
        <v/>
      </c>
      <c r="D258" s="11">
        <f>IF(AND(ISNUMBER(B258),ISNUMBER(C258),ISNUMBER($B$7),ISNUMBER($B$8)),$B$8+$B$7*B258,"")</f>
        <v/>
      </c>
      <c r="E258" s="11">
        <f>IF(ISNUMBER(D258),C258-D258,"")</f>
        <v/>
      </c>
    </row>
    <row r="259">
      <c r="A259" s="10">
        <f>IF(Data!A241="","",Data!A241)</f>
        <v/>
      </c>
      <c r="B259" s="10">
        <f>IF(Data!B241="","",Data!B241)</f>
        <v/>
      </c>
      <c r="C259" s="10">
        <f>IF(Data!C241="","",Data!C241)</f>
        <v/>
      </c>
      <c r="D259" s="11">
        <f>IF(AND(ISNUMBER(B259),ISNUMBER(C259),ISNUMBER($B$7),ISNUMBER($B$8)),$B$8+$B$7*B259,"")</f>
        <v/>
      </c>
      <c r="E259" s="11">
        <f>IF(ISNUMBER(D259),C259-D259,"")</f>
        <v/>
      </c>
    </row>
    <row r="260">
      <c r="A260" s="10">
        <f>IF(Data!A242="","",Data!A242)</f>
        <v/>
      </c>
      <c r="B260" s="10">
        <f>IF(Data!B242="","",Data!B242)</f>
        <v/>
      </c>
      <c r="C260" s="10">
        <f>IF(Data!C242="","",Data!C242)</f>
        <v/>
      </c>
      <c r="D260" s="11">
        <f>IF(AND(ISNUMBER(B260),ISNUMBER(C260),ISNUMBER($B$7),ISNUMBER($B$8)),$B$8+$B$7*B260,"")</f>
        <v/>
      </c>
      <c r="E260" s="11">
        <f>IF(ISNUMBER(D260),C260-D260,"")</f>
        <v/>
      </c>
    </row>
    <row r="261">
      <c r="A261" s="10">
        <f>IF(Data!A243="","",Data!A243)</f>
        <v/>
      </c>
      <c r="B261" s="10">
        <f>IF(Data!B243="","",Data!B243)</f>
        <v/>
      </c>
      <c r="C261" s="10">
        <f>IF(Data!C243="","",Data!C243)</f>
        <v/>
      </c>
      <c r="D261" s="11">
        <f>IF(AND(ISNUMBER(B261),ISNUMBER(C261),ISNUMBER($B$7),ISNUMBER($B$8)),$B$8+$B$7*B261,"")</f>
        <v/>
      </c>
      <c r="E261" s="11">
        <f>IF(ISNUMBER(D261),C261-D261,"")</f>
        <v/>
      </c>
    </row>
    <row r="262">
      <c r="A262" s="10">
        <f>IF(Data!A244="","",Data!A244)</f>
        <v/>
      </c>
      <c r="B262" s="10">
        <f>IF(Data!B244="","",Data!B244)</f>
        <v/>
      </c>
      <c r="C262" s="10">
        <f>IF(Data!C244="","",Data!C244)</f>
        <v/>
      </c>
      <c r="D262" s="11">
        <f>IF(AND(ISNUMBER(B262),ISNUMBER(C262),ISNUMBER($B$7),ISNUMBER($B$8)),$B$8+$B$7*B262,"")</f>
        <v/>
      </c>
      <c r="E262" s="11">
        <f>IF(ISNUMBER(D262),C262-D262,"")</f>
        <v/>
      </c>
    </row>
    <row r="263">
      <c r="A263" s="10">
        <f>IF(Data!A245="","",Data!A245)</f>
        <v/>
      </c>
      <c r="B263" s="10">
        <f>IF(Data!B245="","",Data!B245)</f>
        <v/>
      </c>
      <c r="C263" s="10">
        <f>IF(Data!C245="","",Data!C245)</f>
        <v/>
      </c>
      <c r="D263" s="11">
        <f>IF(AND(ISNUMBER(B263),ISNUMBER(C263),ISNUMBER($B$7),ISNUMBER($B$8)),$B$8+$B$7*B263,"")</f>
        <v/>
      </c>
      <c r="E263" s="11">
        <f>IF(ISNUMBER(D263),C263-D263,"")</f>
        <v/>
      </c>
    </row>
    <row r="264">
      <c r="A264" s="10">
        <f>IF(Data!A246="","",Data!A246)</f>
        <v/>
      </c>
      <c r="B264" s="10">
        <f>IF(Data!B246="","",Data!B246)</f>
        <v/>
      </c>
      <c r="C264" s="10">
        <f>IF(Data!C246="","",Data!C246)</f>
        <v/>
      </c>
      <c r="D264" s="11">
        <f>IF(AND(ISNUMBER(B264),ISNUMBER(C264),ISNUMBER($B$7),ISNUMBER($B$8)),$B$8+$B$7*B264,"")</f>
        <v/>
      </c>
      <c r="E264" s="11">
        <f>IF(ISNUMBER(D264),C264-D264,"")</f>
        <v/>
      </c>
    </row>
    <row r="265">
      <c r="A265" s="10">
        <f>IF(Data!A247="","",Data!A247)</f>
        <v/>
      </c>
      <c r="B265" s="10">
        <f>IF(Data!B247="","",Data!B247)</f>
        <v/>
      </c>
      <c r="C265" s="10">
        <f>IF(Data!C247="","",Data!C247)</f>
        <v/>
      </c>
      <c r="D265" s="11">
        <f>IF(AND(ISNUMBER(B265),ISNUMBER(C265),ISNUMBER($B$7),ISNUMBER($B$8)),$B$8+$B$7*B265,"")</f>
        <v/>
      </c>
      <c r="E265" s="11">
        <f>IF(ISNUMBER(D265),C265-D265,"")</f>
        <v/>
      </c>
    </row>
    <row r="266">
      <c r="A266" s="10">
        <f>IF(Data!A248="","",Data!A248)</f>
        <v/>
      </c>
      <c r="B266" s="10">
        <f>IF(Data!B248="","",Data!B248)</f>
        <v/>
      </c>
      <c r="C266" s="10">
        <f>IF(Data!C248="","",Data!C248)</f>
        <v/>
      </c>
      <c r="D266" s="11">
        <f>IF(AND(ISNUMBER(B266),ISNUMBER(C266),ISNUMBER($B$7),ISNUMBER($B$8)),$B$8+$B$7*B266,"")</f>
        <v/>
      </c>
      <c r="E266" s="11">
        <f>IF(ISNUMBER(D266),C266-D266,"")</f>
        <v/>
      </c>
    </row>
    <row r="267">
      <c r="A267" s="10">
        <f>IF(Data!A249="","",Data!A249)</f>
        <v/>
      </c>
      <c r="B267" s="10">
        <f>IF(Data!B249="","",Data!B249)</f>
        <v/>
      </c>
      <c r="C267" s="10">
        <f>IF(Data!C249="","",Data!C249)</f>
        <v/>
      </c>
      <c r="D267" s="11">
        <f>IF(AND(ISNUMBER(B267),ISNUMBER(C267),ISNUMBER($B$7),ISNUMBER($B$8)),$B$8+$B$7*B267,"")</f>
        <v/>
      </c>
      <c r="E267" s="11">
        <f>IF(ISNUMBER(D267),C267-D267,"")</f>
        <v/>
      </c>
    </row>
    <row r="268">
      <c r="A268" s="10">
        <f>IF(Data!A250="","",Data!A250)</f>
        <v/>
      </c>
      <c r="B268" s="10">
        <f>IF(Data!B250="","",Data!B250)</f>
        <v/>
      </c>
      <c r="C268" s="10">
        <f>IF(Data!C250="","",Data!C250)</f>
        <v/>
      </c>
      <c r="D268" s="11">
        <f>IF(AND(ISNUMBER(B268),ISNUMBER(C268),ISNUMBER($B$7),ISNUMBER($B$8)),$B$8+$B$7*B268,"")</f>
        <v/>
      </c>
      <c r="E268" s="11">
        <f>IF(ISNUMBER(D268),C268-D268,"")</f>
        <v/>
      </c>
    </row>
    <row r="269">
      <c r="A269" s="10">
        <f>IF(Data!A251="","",Data!A251)</f>
        <v/>
      </c>
      <c r="B269" s="10">
        <f>IF(Data!B251="","",Data!B251)</f>
        <v/>
      </c>
      <c r="C269" s="10">
        <f>IF(Data!C251="","",Data!C251)</f>
        <v/>
      </c>
      <c r="D269" s="11">
        <f>IF(AND(ISNUMBER(B269),ISNUMBER(C269),ISNUMBER($B$7),ISNUMBER($B$8)),$B$8+$B$7*B269,"")</f>
        <v/>
      </c>
      <c r="E269" s="11">
        <f>IF(ISNUMBER(D269),C269-D269,"")</f>
        <v/>
      </c>
    </row>
    <row r="270">
      <c r="A270" s="10">
        <f>IF(Data!A252="","",Data!A252)</f>
        <v/>
      </c>
      <c r="B270" s="10">
        <f>IF(Data!B252="","",Data!B252)</f>
        <v/>
      </c>
      <c r="C270" s="10">
        <f>IF(Data!C252="","",Data!C252)</f>
        <v/>
      </c>
      <c r="D270" s="11">
        <f>IF(AND(ISNUMBER(B270),ISNUMBER(C270),ISNUMBER($B$7),ISNUMBER($B$8)),$B$8+$B$7*B270,"")</f>
        <v/>
      </c>
      <c r="E270" s="11">
        <f>IF(ISNUMBER(D270),C270-D270,"")</f>
        <v/>
      </c>
    </row>
    <row r="271">
      <c r="A271" s="10">
        <f>IF(Data!A253="","",Data!A253)</f>
        <v/>
      </c>
      <c r="B271" s="10">
        <f>IF(Data!B253="","",Data!B253)</f>
        <v/>
      </c>
      <c r="C271" s="10">
        <f>IF(Data!C253="","",Data!C253)</f>
        <v/>
      </c>
      <c r="D271" s="11">
        <f>IF(AND(ISNUMBER(B271),ISNUMBER(C271),ISNUMBER($B$7),ISNUMBER($B$8)),$B$8+$B$7*B271,"")</f>
        <v/>
      </c>
      <c r="E271" s="11">
        <f>IF(ISNUMBER(D271),C271-D271,"")</f>
        <v/>
      </c>
    </row>
    <row r="272">
      <c r="A272" s="10">
        <f>IF(Data!A254="","",Data!A254)</f>
        <v/>
      </c>
      <c r="B272" s="10">
        <f>IF(Data!B254="","",Data!B254)</f>
        <v/>
      </c>
      <c r="C272" s="10">
        <f>IF(Data!C254="","",Data!C254)</f>
        <v/>
      </c>
      <c r="D272" s="11">
        <f>IF(AND(ISNUMBER(B272),ISNUMBER(C272),ISNUMBER($B$7),ISNUMBER($B$8)),$B$8+$B$7*B272,"")</f>
        <v/>
      </c>
      <c r="E272" s="11">
        <f>IF(ISNUMBER(D272),C272-D272,"")</f>
        <v/>
      </c>
    </row>
    <row r="273">
      <c r="A273" s="10">
        <f>IF(Data!A255="","",Data!A255)</f>
        <v/>
      </c>
      <c r="B273" s="10">
        <f>IF(Data!B255="","",Data!B255)</f>
        <v/>
      </c>
      <c r="C273" s="10">
        <f>IF(Data!C255="","",Data!C255)</f>
        <v/>
      </c>
      <c r="D273" s="11">
        <f>IF(AND(ISNUMBER(B273),ISNUMBER(C273),ISNUMBER($B$7),ISNUMBER($B$8)),$B$8+$B$7*B273,"")</f>
        <v/>
      </c>
      <c r="E273" s="11">
        <f>IF(ISNUMBER(D273),C273-D273,"")</f>
        <v/>
      </c>
    </row>
    <row r="274">
      <c r="A274" s="10">
        <f>IF(Data!A256="","",Data!A256)</f>
        <v/>
      </c>
      <c r="B274" s="10">
        <f>IF(Data!B256="","",Data!B256)</f>
        <v/>
      </c>
      <c r="C274" s="10">
        <f>IF(Data!C256="","",Data!C256)</f>
        <v/>
      </c>
      <c r="D274" s="11">
        <f>IF(AND(ISNUMBER(B274),ISNUMBER(C274),ISNUMBER($B$7),ISNUMBER($B$8)),$B$8+$B$7*B274,"")</f>
        <v/>
      </c>
      <c r="E274" s="11">
        <f>IF(ISNUMBER(D274),C274-D274,"")</f>
        <v/>
      </c>
    </row>
    <row r="275">
      <c r="A275" s="10">
        <f>IF(Data!A257="","",Data!A257)</f>
        <v/>
      </c>
      <c r="B275" s="10">
        <f>IF(Data!B257="","",Data!B257)</f>
        <v/>
      </c>
      <c r="C275" s="10">
        <f>IF(Data!C257="","",Data!C257)</f>
        <v/>
      </c>
      <c r="D275" s="11">
        <f>IF(AND(ISNUMBER(B275),ISNUMBER(C275),ISNUMBER($B$7),ISNUMBER($B$8)),$B$8+$B$7*B275,"")</f>
        <v/>
      </c>
      <c r="E275" s="11">
        <f>IF(ISNUMBER(D275),C275-D275,"")</f>
        <v/>
      </c>
    </row>
    <row r="276">
      <c r="A276" s="10">
        <f>IF(Data!A258="","",Data!A258)</f>
        <v/>
      </c>
      <c r="B276" s="10">
        <f>IF(Data!B258="","",Data!B258)</f>
        <v/>
      </c>
      <c r="C276" s="10">
        <f>IF(Data!C258="","",Data!C258)</f>
        <v/>
      </c>
      <c r="D276" s="11">
        <f>IF(AND(ISNUMBER(B276),ISNUMBER(C276),ISNUMBER($B$7),ISNUMBER($B$8)),$B$8+$B$7*B276,"")</f>
        <v/>
      </c>
      <c r="E276" s="11">
        <f>IF(ISNUMBER(D276),C276-D276,"")</f>
        <v/>
      </c>
    </row>
    <row r="277">
      <c r="A277" s="10">
        <f>IF(Data!A259="","",Data!A259)</f>
        <v/>
      </c>
      <c r="B277" s="10">
        <f>IF(Data!B259="","",Data!B259)</f>
        <v/>
      </c>
      <c r="C277" s="10">
        <f>IF(Data!C259="","",Data!C259)</f>
        <v/>
      </c>
      <c r="D277" s="11">
        <f>IF(AND(ISNUMBER(B277),ISNUMBER(C277),ISNUMBER($B$7),ISNUMBER($B$8)),$B$8+$B$7*B277,"")</f>
        <v/>
      </c>
      <c r="E277" s="11">
        <f>IF(ISNUMBER(D277),C277-D277,"")</f>
        <v/>
      </c>
    </row>
    <row r="278">
      <c r="A278" s="10">
        <f>IF(Data!A260="","",Data!A260)</f>
        <v/>
      </c>
      <c r="B278" s="10">
        <f>IF(Data!B260="","",Data!B260)</f>
        <v/>
      </c>
      <c r="C278" s="10">
        <f>IF(Data!C260="","",Data!C260)</f>
        <v/>
      </c>
      <c r="D278" s="11">
        <f>IF(AND(ISNUMBER(B278),ISNUMBER(C278),ISNUMBER($B$7),ISNUMBER($B$8)),$B$8+$B$7*B278,"")</f>
        <v/>
      </c>
      <c r="E278" s="11">
        <f>IF(ISNUMBER(D278),C278-D278,"")</f>
        <v/>
      </c>
    </row>
    <row r="279">
      <c r="A279" s="10">
        <f>IF(Data!A261="","",Data!A261)</f>
        <v/>
      </c>
      <c r="B279" s="10">
        <f>IF(Data!B261="","",Data!B261)</f>
        <v/>
      </c>
      <c r="C279" s="10">
        <f>IF(Data!C261="","",Data!C261)</f>
        <v/>
      </c>
      <c r="D279" s="11">
        <f>IF(AND(ISNUMBER(B279),ISNUMBER(C279),ISNUMBER($B$7),ISNUMBER($B$8)),$B$8+$B$7*B279,"")</f>
        <v/>
      </c>
      <c r="E279" s="11">
        <f>IF(ISNUMBER(D279),C279-D279,"")</f>
        <v/>
      </c>
    </row>
    <row r="280">
      <c r="A280" s="10">
        <f>IF(Data!A262="","",Data!A262)</f>
        <v/>
      </c>
      <c r="B280" s="10">
        <f>IF(Data!B262="","",Data!B262)</f>
        <v/>
      </c>
      <c r="C280" s="10">
        <f>IF(Data!C262="","",Data!C262)</f>
        <v/>
      </c>
      <c r="D280" s="11">
        <f>IF(AND(ISNUMBER(B280),ISNUMBER(C280),ISNUMBER($B$7),ISNUMBER($B$8)),$B$8+$B$7*B280,"")</f>
        <v/>
      </c>
      <c r="E280" s="11">
        <f>IF(ISNUMBER(D280),C280-D280,"")</f>
        <v/>
      </c>
    </row>
    <row r="281">
      <c r="A281" s="10">
        <f>IF(Data!A263="","",Data!A263)</f>
        <v/>
      </c>
      <c r="B281" s="10">
        <f>IF(Data!B263="","",Data!B263)</f>
        <v/>
      </c>
      <c r="C281" s="10">
        <f>IF(Data!C263="","",Data!C263)</f>
        <v/>
      </c>
      <c r="D281" s="11">
        <f>IF(AND(ISNUMBER(B281),ISNUMBER(C281),ISNUMBER($B$7),ISNUMBER($B$8)),$B$8+$B$7*B281,"")</f>
        <v/>
      </c>
      <c r="E281" s="11">
        <f>IF(ISNUMBER(D281),C281-D281,"")</f>
        <v/>
      </c>
    </row>
    <row r="282">
      <c r="A282" s="10">
        <f>IF(Data!A264="","",Data!A264)</f>
        <v/>
      </c>
      <c r="B282" s="10">
        <f>IF(Data!B264="","",Data!B264)</f>
        <v/>
      </c>
      <c r="C282" s="10">
        <f>IF(Data!C264="","",Data!C264)</f>
        <v/>
      </c>
      <c r="D282" s="11">
        <f>IF(AND(ISNUMBER(B282),ISNUMBER(C282),ISNUMBER($B$7),ISNUMBER($B$8)),$B$8+$B$7*B282,"")</f>
        <v/>
      </c>
      <c r="E282" s="11">
        <f>IF(ISNUMBER(D282),C282-D282,"")</f>
        <v/>
      </c>
    </row>
    <row r="283">
      <c r="A283" s="10">
        <f>IF(Data!A265="","",Data!A265)</f>
        <v/>
      </c>
      <c r="B283" s="10">
        <f>IF(Data!B265="","",Data!B265)</f>
        <v/>
      </c>
      <c r="C283" s="10">
        <f>IF(Data!C265="","",Data!C265)</f>
        <v/>
      </c>
      <c r="D283" s="11">
        <f>IF(AND(ISNUMBER(B283),ISNUMBER(C283),ISNUMBER($B$7),ISNUMBER($B$8)),$B$8+$B$7*B283,"")</f>
        <v/>
      </c>
      <c r="E283" s="11">
        <f>IF(ISNUMBER(D283),C283-D283,"")</f>
        <v/>
      </c>
    </row>
    <row r="284">
      <c r="A284" s="10">
        <f>IF(Data!A266="","",Data!A266)</f>
        <v/>
      </c>
      <c r="B284" s="10">
        <f>IF(Data!B266="","",Data!B266)</f>
        <v/>
      </c>
      <c r="C284" s="10">
        <f>IF(Data!C266="","",Data!C266)</f>
        <v/>
      </c>
      <c r="D284" s="11">
        <f>IF(AND(ISNUMBER(B284),ISNUMBER(C284),ISNUMBER($B$7),ISNUMBER($B$8)),$B$8+$B$7*B284,"")</f>
        <v/>
      </c>
      <c r="E284" s="11">
        <f>IF(ISNUMBER(D284),C284-D284,"")</f>
        <v/>
      </c>
    </row>
    <row r="285">
      <c r="A285" s="10">
        <f>IF(Data!A267="","",Data!A267)</f>
        <v/>
      </c>
      <c r="B285" s="10">
        <f>IF(Data!B267="","",Data!B267)</f>
        <v/>
      </c>
      <c r="C285" s="10">
        <f>IF(Data!C267="","",Data!C267)</f>
        <v/>
      </c>
      <c r="D285" s="11">
        <f>IF(AND(ISNUMBER(B285),ISNUMBER(C285),ISNUMBER($B$7),ISNUMBER($B$8)),$B$8+$B$7*B285,"")</f>
        <v/>
      </c>
      <c r="E285" s="11">
        <f>IF(ISNUMBER(D285),C285-D285,"")</f>
        <v/>
      </c>
    </row>
    <row r="286">
      <c r="A286" s="10">
        <f>IF(Data!A268="","",Data!A268)</f>
        <v/>
      </c>
      <c r="B286" s="10">
        <f>IF(Data!B268="","",Data!B268)</f>
        <v/>
      </c>
      <c r="C286" s="10">
        <f>IF(Data!C268="","",Data!C268)</f>
        <v/>
      </c>
      <c r="D286" s="11">
        <f>IF(AND(ISNUMBER(B286),ISNUMBER(C286),ISNUMBER($B$7),ISNUMBER($B$8)),$B$8+$B$7*B286,"")</f>
        <v/>
      </c>
      <c r="E286" s="11">
        <f>IF(ISNUMBER(D286),C286-D286,"")</f>
        <v/>
      </c>
    </row>
    <row r="287">
      <c r="A287" s="10">
        <f>IF(Data!A269="","",Data!A269)</f>
        <v/>
      </c>
      <c r="B287" s="10">
        <f>IF(Data!B269="","",Data!B269)</f>
        <v/>
      </c>
      <c r="C287" s="10">
        <f>IF(Data!C269="","",Data!C269)</f>
        <v/>
      </c>
      <c r="D287" s="11">
        <f>IF(AND(ISNUMBER(B287),ISNUMBER(C287),ISNUMBER($B$7),ISNUMBER($B$8)),$B$8+$B$7*B287,"")</f>
        <v/>
      </c>
      <c r="E287" s="11">
        <f>IF(ISNUMBER(D287),C287-D287,"")</f>
        <v/>
      </c>
    </row>
    <row r="288">
      <c r="A288" s="10">
        <f>IF(Data!A270="","",Data!A270)</f>
        <v/>
      </c>
      <c r="B288" s="10">
        <f>IF(Data!B270="","",Data!B270)</f>
        <v/>
      </c>
      <c r="C288" s="10">
        <f>IF(Data!C270="","",Data!C270)</f>
        <v/>
      </c>
      <c r="D288" s="11">
        <f>IF(AND(ISNUMBER(B288),ISNUMBER(C288),ISNUMBER($B$7),ISNUMBER($B$8)),$B$8+$B$7*B288,"")</f>
        <v/>
      </c>
      <c r="E288" s="11">
        <f>IF(ISNUMBER(D288),C288-D288,"")</f>
        <v/>
      </c>
    </row>
    <row r="289">
      <c r="A289" s="10">
        <f>IF(Data!A271="","",Data!A271)</f>
        <v/>
      </c>
      <c r="B289" s="10">
        <f>IF(Data!B271="","",Data!B271)</f>
        <v/>
      </c>
      <c r="C289" s="10">
        <f>IF(Data!C271="","",Data!C271)</f>
        <v/>
      </c>
      <c r="D289" s="11">
        <f>IF(AND(ISNUMBER(B289),ISNUMBER(C289),ISNUMBER($B$7),ISNUMBER($B$8)),$B$8+$B$7*B289,"")</f>
        <v/>
      </c>
      <c r="E289" s="11">
        <f>IF(ISNUMBER(D289),C289-D289,"")</f>
        <v/>
      </c>
    </row>
    <row r="290">
      <c r="A290" s="10">
        <f>IF(Data!A272="","",Data!A272)</f>
        <v/>
      </c>
      <c r="B290" s="10">
        <f>IF(Data!B272="","",Data!B272)</f>
        <v/>
      </c>
      <c r="C290" s="10">
        <f>IF(Data!C272="","",Data!C272)</f>
        <v/>
      </c>
      <c r="D290" s="11">
        <f>IF(AND(ISNUMBER(B290),ISNUMBER(C290),ISNUMBER($B$7),ISNUMBER($B$8)),$B$8+$B$7*B290,"")</f>
        <v/>
      </c>
      <c r="E290" s="11">
        <f>IF(ISNUMBER(D290),C290-D290,"")</f>
        <v/>
      </c>
    </row>
    <row r="291">
      <c r="A291" s="10">
        <f>IF(Data!A273="","",Data!A273)</f>
        <v/>
      </c>
      <c r="B291" s="10">
        <f>IF(Data!B273="","",Data!B273)</f>
        <v/>
      </c>
      <c r="C291" s="10">
        <f>IF(Data!C273="","",Data!C273)</f>
        <v/>
      </c>
      <c r="D291" s="11">
        <f>IF(AND(ISNUMBER(B291),ISNUMBER(C291),ISNUMBER($B$7),ISNUMBER($B$8)),$B$8+$B$7*B291,"")</f>
        <v/>
      </c>
      <c r="E291" s="11">
        <f>IF(ISNUMBER(D291),C291-D291,"")</f>
        <v/>
      </c>
    </row>
    <row r="292">
      <c r="A292" s="10">
        <f>IF(Data!A274="","",Data!A274)</f>
        <v/>
      </c>
      <c r="B292" s="10">
        <f>IF(Data!B274="","",Data!B274)</f>
        <v/>
      </c>
      <c r="C292" s="10">
        <f>IF(Data!C274="","",Data!C274)</f>
        <v/>
      </c>
      <c r="D292" s="11">
        <f>IF(AND(ISNUMBER(B292),ISNUMBER(C292),ISNUMBER($B$7),ISNUMBER($B$8)),$B$8+$B$7*B292,"")</f>
        <v/>
      </c>
      <c r="E292" s="11">
        <f>IF(ISNUMBER(D292),C292-D292,"")</f>
        <v/>
      </c>
    </row>
    <row r="293">
      <c r="A293" s="10">
        <f>IF(Data!A275="","",Data!A275)</f>
        <v/>
      </c>
      <c r="B293" s="10">
        <f>IF(Data!B275="","",Data!B275)</f>
        <v/>
      </c>
      <c r="C293" s="10">
        <f>IF(Data!C275="","",Data!C275)</f>
        <v/>
      </c>
      <c r="D293" s="11">
        <f>IF(AND(ISNUMBER(B293),ISNUMBER(C293),ISNUMBER($B$7),ISNUMBER($B$8)),$B$8+$B$7*B293,"")</f>
        <v/>
      </c>
      <c r="E293" s="11">
        <f>IF(ISNUMBER(D293),C293-D293,"")</f>
        <v/>
      </c>
    </row>
    <row r="294">
      <c r="A294" s="10">
        <f>IF(Data!A276="","",Data!A276)</f>
        <v/>
      </c>
      <c r="B294" s="10">
        <f>IF(Data!B276="","",Data!B276)</f>
        <v/>
      </c>
      <c r="C294" s="10">
        <f>IF(Data!C276="","",Data!C276)</f>
        <v/>
      </c>
      <c r="D294" s="11">
        <f>IF(AND(ISNUMBER(B294),ISNUMBER(C294),ISNUMBER($B$7),ISNUMBER($B$8)),$B$8+$B$7*B294,"")</f>
        <v/>
      </c>
      <c r="E294" s="11">
        <f>IF(ISNUMBER(D294),C294-D294,"")</f>
        <v/>
      </c>
    </row>
    <row r="295">
      <c r="A295" s="10">
        <f>IF(Data!A277="","",Data!A277)</f>
        <v/>
      </c>
      <c r="B295" s="10">
        <f>IF(Data!B277="","",Data!B277)</f>
        <v/>
      </c>
      <c r="C295" s="10">
        <f>IF(Data!C277="","",Data!C277)</f>
        <v/>
      </c>
      <c r="D295" s="11">
        <f>IF(AND(ISNUMBER(B295),ISNUMBER(C295),ISNUMBER($B$7),ISNUMBER($B$8)),$B$8+$B$7*B295,"")</f>
        <v/>
      </c>
      <c r="E295" s="11">
        <f>IF(ISNUMBER(D295),C295-D295,"")</f>
        <v/>
      </c>
    </row>
    <row r="296">
      <c r="A296" s="10">
        <f>IF(Data!A278="","",Data!A278)</f>
        <v/>
      </c>
      <c r="B296" s="10">
        <f>IF(Data!B278="","",Data!B278)</f>
        <v/>
      </c>
      <c r="C296" s="10">
        <f>IF(Data!C278="","",Data!C278)</f>
        <v/>
      </c>
      <c r="D296" s="11">
        <f>IF(AND(ISNUMBER(B296),ISNUMBER(C296),ISNUMBER($B$7),ISNUMBER($B$8)),$B$8+$B$7*B296,"")</f>
        <v/>
      </c>
      <c r="E296" s="11">
        <f>IF(ISNUMBER(D296),C296-D296,"")</f>
        <v/>
      </c>
    </row>
    <row r="297">
      <c r="A297" s="10">
        <f>IF(Data!A279="","",Data!A279)</f>
        <v/>
      </c>
      <c r="B297" s="10">
        <f>IF(Data!B279="","",Data!B279)</f>
        <v/>
      </c>
      <c r="C297" s="10">
        <f>IF(Data!C279="","",Data!C279)</f>
        <v/>
      </c>
      <c r="D297" s="11">
        <f>IF(AND(ISNUMBER(B297),ISNUMBER(C297),ISNUMBER($B$7),ISNUMBER($B$8)),$B$8+$B$7*B297,"")</f>
        <v/>
      </c>
      <c r="E297" s="11">
        <f>IF(ISNUMBER(D297),C297-D297,"")</f>
        <v/>
      </c>
    </row>
    <row r="298">
      <c r="A298" s="10">
        <f>IF(Data!A280="","",Data!A280)</f>
        <v/>
      </c>
      <c r="B298" s="10">
        <f>IF(Data!B280="","",Data!B280)</f>
        <v/>
      </c>
      <c r="C298" s="10">
        <f>IF(Data!C280="","",Data!C280)</f>
        <v/>
      </c>
      <c r="D298" s="11">
        <f>IF(AND(ISNUMBER(B298),ISNUMBER(C298),ISNUMBER($B$7),ISNUMBER($B$8)),$B$8+$B$7*B298,"")</f>
        <v/>
      </c>
      <c r="E298" s="11">
        <f>IF(ISNUMBER(D298),C298-D298,"")</f>
        <v/>
      </c>
    </row>
    <row r="299">
      <c r="A299" s="10">
        <f>IF(Data!A281="","",Data!A281)</f>
        <v/>
      </c>
      <c r="B299" s="10">
        <f>IF(Data!B281="","",Data!B281)</f>
        <v/>
      </c>
      <c r="C299" s="10">
        <f>IF(Data!C281="","",Data!C281)</f>
        <v/>
      </c>
      <c r="D299" s="11">
        <f>IF(AND(ISNUMBER(B299),ISNUMBER(C299),ISNUMBER($B$7),ISNUMBER($B$8)),$B$8+$B$7*B299,"")</f>
        <v/>
      </c>
      <c r="E299" s="11">
        <f>IF(ISNUMBER(D299),C299-D299,"")</f>
        <v/>
      </c>
    </row>
    <row r="300">
      <c r="A300" s="10">
        <f>IF(Data!A282="","",Data!A282)</f>
        <v/>
      </c>
      <c r="B300" s="10">
        <f>IF(Data!B282="","",Data!B282)</f>
        <v/>
      </c>
      <c r="C300" s="10">
        <f>IF(Data!C282="","",Data!C282)</f>
        <v/>
      </c>
      <c r="D300" s="11">
        <f>IF(AND(ISNUMBER(B300),ISNUMBER(C300),ISNUMBER($B$7),ISNUMBER($B$8)),$B$8+$B$7*B300,"")</f>
        <v/>
      </c>
      <c r="E300" s="11">
        <f>IF(ISNUMBER(D300),C300-D300,"")</f>
        <v/>
      </c>
    </row>
    <row r="301">
      <c r="A301" s="10">
        <f>IF(Data!A283="","",Data!A283)</f>
        <v/>
      </c>
      <c r="B301" s="10">
        <f>IF(Data!B283="","",Data!B283)</f>
        <v/>
      </c>
      <c r="C301" s="10">
        <f>IF(Data!C283="","",Data!C283)</f>
        <v/>
      </c>
      <c r="D301" s="11">
        <f>IF(AND(ISNUMBER(B301),ISNUMBER(C301),ISNUMBER($B$7),ISNUMBER($B$8)),$B$8+$B$7*B301,"")</f>
        <v/>
      </c>
      <c r="E301" s="11">
        <f>IF(ISNUMBER(D301),C301-D301,"")</f>
        <v/>
      </c>
    </row>
    <row r="302">
      <c r="A302" s="10">
        <f>IF(Data!A284="","",Data!A284)</f>
        <v/>
      </c>
      <c r="B302" s="10">
        <f>IF(Data!B284="","",Data!B284)</f>
        <v/>
      </c>
      <c r="C302" s="10">
        <f>IF(Data!C284="","",Data!C284)</f>
        <v/>
      </c>
      <c r="D302" s="11">
        <f>IF(AND(ISNUMBER(B302),ISNUMBER(C302),ISNUMBER($B$7),ISNUMBER($B$8)),$B$8+$B$7*B302,"")</f>
        <v/>
      </c>
      <c r="E302" s="11">
        <f>IF(ISNUMBER(D302),C302-D302,"")</f>
        <v/>
      </c>
    </row>
    <row r="303">
      <c r="A303" s="10">
        <f>IF(Data!A285="","",Data!A285)</f>
        <v/>
      </c>
      <c r="B303" s="10">
        <f>IF(Data!B285="","",Data!B285)</f>
        <v/>
      </c>
      <c r="C303" s="10">
        <f>IF(Data!C285="","",Data!C285)</f>
        <v/>
      </c>
      <c r="D303" s="11">
        <f>IF(AND(ISNUMBER(B303),ISNUMBER(C303),ISNUMBER($B$7),ISNUMBER($B$8)),$B$8+$B$7*B303,"")</f>
        <v/>
      </c>
      <c r="E303" s="11">
        <f>IF(ISNUMBER(D303),C303-D303,"")</f>
        <v/>
      </c>
    </row>
    <row r="304">
      <c r="A304" s="10">
        <f>IF(Data!A286="","",Data!A286)</f>
        <v/>
      </c>
      <c r="B304" s="10">
        <f>IF(Data!B286="","",Data!B286)</f>
        <v/>
      </c>
      <c r="C304" s="10">
        <f>IF(Data!C286="","",Data!C286)</f>
        <v/>
      </c>
      <c r="D304" s="11">
        <f>IF(AND(ISNUMBER(B304),ISNUMBER(C304),ISNUMBER($B$7),ISNUMBER($B$8)),$B$8+$B$7*B304,"")</f>
        <v/>
      </c>
      <c r="E304" s="11">
        <f>IF(ISNUMBER(D304),C304-D304,"")</f>
        <v/>
      </c>
    </row>
    <row r="305">
      <c r="A305" s="10">
        <f>IF(Data!A287="","",Data!A287)</f>
        <v/>
      </c>
      <c r="B305" s="10">
        <f>IF(Data!B287="","",Data!B287)</f>
        <v/>
      </c>
      <c r="C305" s="10">
        <f>IF(Data!C287="","",Data!C287)</f>
        <v/>
      </c>
      <c r="D305" s="11">
        <f>IF(AND(ISNUMBER(B305),ISNUMBER(C305),ISNUMBER($B$7),ISNUMBER($B$8)),$B$8+$B$7*B305,"")</f>
        <v/>
      </c>
      <c r="E305" s="11">
        <f>IF(ISNUMBER(D305),C305-D305,"")</f>
        <v/>
      </c>
    </row>
    <row r="306">
      <c r="A306" s="10">
        <f>IF(Data!A288="","",Data!A288)</f>
        <v/>
      </c>
      <c r="B306" s="10">
        <f>IF(Data!B288="","",Data!B288)</f>
        <v/>
      </c>
      <c r="C306" s="10">
        <f>IF(Data!C288="","",Data!C288)</f>
        <v/>
      </c>
      <c r="D306" s="11">
        <f>IF(AND(ISNUMBER(B306),ISNUMBER(C306),ISNUMBER($B$7),ISNUMBER($B$8)),$B$8+$B$7*B306,"")</f>
        <v/>
      </c>
      <c r="E306" s="11">
        <f>IF(ISNUMBER(D306),C306-D306,"")</f>
        <v/>
      </c>
    </row>
    <row r="307">
      <c r="A307" s="10">
        <f>IF(Data!A289="","",Data!A289)</f>
        <v/>
      </c>
      <c r="B307" s="10">
        <f>IF(Data!B289="","",Data!B289)</f>
        <v/>
      </c>
      <c r="C307" s="10">
        <f>IF(Data!C289="","",Data!C289)</f>
        <v/>
      </c>
      <c r="D307" s="11">
        <f>IF(AND(ISNUMBER(B307),ISNUMBER(C307),ISNUMBER($B$7),ISNUMBER($B$8)),$B$8+$B$7*B307,"")</f>
        <v/>
      </c>
      <c r="E307" s="11">
        <f>IF(ISNUMBER(D307),C307-D307,"")</f>
        <v/>
      </c>
    </row>
    <row r="308">
      <c r="A308" s="10">
        <f>IF(Data!A290="","",Data!A290)</f>
        <v/>
      </c>
      <c r="B308" s="10">
        <f>IF(Data!B290="","",Data!B290)</f>
        <v/>
      </c>
      <c r="C308" s="10">
        <f>IF(Data!C290="","",Data!C290)</f>
        <v/>
      </c>
      <c r="D308" s="11">
        <f>IF(AND(ISNUMBER(B308),ISNUMBER(C308),ISNUMBER($B$7),ISNUMBER($B$8)),$B$8+$B$7*B308,"")</f>
        <v/>
      </c>
      <c r="E308" s="11">
        <f>IF(ISNUMBER(D308),C308-D308,"")</f>
        <v/>
      </c>
    </row>
    <row r="309">
      <c r="A309" s="10">
        <f>IF(Data!A291="","",Data!A291)</f>
        <v/>
      </c>
      <c r="B309" s="10">
        <f>IF(Data!B291="","",Data!B291)</f>
        <v/>
      </c>
      <c r="C309" s="10">
        <f>IF(Data!C291="","",Data!C291)</f>
        <v/>
      </c>
      <c r="D309" s="11">
        <f>IF(AND(ISNUMBER(B309),ISNUMBER(C309),ISNUMBER($B$7),ISNUMBER($B$8)),$B$8+$B$7*B309,"")</f>
        <v/>
      </c>
      <c r="E309" s="11">
        <f>IF(ISNUMBER(D309),C309-D309,"")</f>
        <v/>
      </c>
    </row>
    <row r="310">
      <c r="A310" s="10">
        <f>IF(Data!A292="","",Data!A292)</f>
        <v/>
      </c>
      <c r="B310" s="10">
        <f>IF(Data!B292="","",Data!B292)</f>
        <v/>
      </c>
      <c r="C310" s="10">
        <f>IF(Data!C292="","",Data!C292)</f>
        <v/>
      </c>
      <c r="D310" s="11">
        <f>IF(AND(ISNUMBER(B310),ISNUMBER(C310),ISNUMBER($B$7),ISNUMBER($B$8)),$B$8+$B$7*B310,"")</f>
        <v/>
      </c>
      <c r="E310" s="11">
        <f>IF(ISNUMBER(D310),C310-D310,"")</f>
        <v/>
      </c>
    </row>
    <row r="311">
      <c r="A311" s="10">
        <f>IF(Data!A293="","",Data!A293)</f>
        <v/>
      </c>
      <c r="B311" s="10">
        <f>IF(Data!B293="","",Data!B293)</f>
        <v/>
      </c>
      <c r="C311" s="10">
        <f>IF(Data!C293="","",Data!C293)</f>
        <v/>
      </c>
      <c r="D311" s="11">
        <f>IF(AND(ISNUMBER(B311),ISNUMBER(C311),ISNUMBER($B$7),ISNUMBER($B$8)),$B$8+$B$7*B311,"")</f>
        <v/>
      </c>
      <c r="E311" s="11">
        <f>IF(ISNUMBER(D311),C311-D311,"")</f>
        <v/>
      </c>
    </row>
    <row r="312">
      <c r="A312" s="10">
        <f>IF(Data!A294="","",Data!A294)</f>
        <v/>
      </c>
      <c r="B312" s="10">
        <f>IF(Data!B294="","",Data!B294)</f>
        <v/>
      </c>
      <c r="C312" s="10">
        <f>IF(Data!C294="","",Data!C294)</f>
        <v/>
      </c>
      <c r="D312" s="11">
        <f>IF(AND(ISNUMBER(B312),ISNUMBER(C312),ISNUMBER($B$7),ISNUMBER($B$8)),$B$8+$B$7*B312,"")</f>
        <v/>
      </c>
      <c r="E312" s="11">
        <f>IF(ISNUMBER(D312),C312-D312,"")</f>
        <v/>
      </c>
    </row>
    <row r="313">
      <c r="A313" s="10">
        <f>IF(Data!A295="","",Data!A295)</f>
        <v/>
      </c>
      <c r="B313" s="10">
        <f>IF(Data!B295="","",Data!B295)</f>
        <v/>
      </c>
      <c r="C313" s="10">
        <f>IF(Data!C295="","",Data!C295)</f>
        <v/>
      </c>
      <c r="D313" s="11">
        <f>IF(AND(ISNUMBER(B313),ISNUMBER(C313),ISNUMBER($B$7),ISNUMBER($B$8)),$B$8+$B$7*B313,"")</f>
        <v/>
      </c>
      <c r="E313" s="11">
        <f>IF(ISNUMBER(D313),C313-D313,"")</f>
        <v/>
      </c>
    </row>
    <row r="314">
      <c r="A314" s="10">
        <f>IF(Data!A296="","",Data!A296)</f>
        <v/>
      </c>
      <c r="B314" s="10">
        <f>IF(Data!B296="","",Data!B296)</f>
        <v/>
      </c>
      <c r="C314" s="10">
        <f>IF(Data!C296="","",Data!C296)</f>
        <v/>
      </c>
      <c r="D314" s="11">
        <f>IF(AND(ISNUMBER(B314),ISNUMBER(C314),ISNUMBER($B$7),ISNUMBER($B$8)),$B$8+$B$7*B314,"")</f>
        <v/>
      </c>
      <c r="E314" s="11">
        <f>IF(ISNUMBER(D314),C314-D314,"")</f>
        <v/>
      </c>
    </row>
    <row r="315">
      <c r="A315" s="10">
        <f>IF(Data!A297="","",Data!A297)</f>
        <v/>
      </c>
      <c r="B315" s="10">
        <f>IF(Data!B297="","",Data!B297)</f>
        <v/>
      </c>
      <c r="C315" s="10">
        <f>IF(Data!C297="","",Data!C297)</f>
        <v/>
      </c>
      <c r="D315" s="11">
        <f>IF(AND(ISNUMBER(B315),ISNUMBER(C315),ISNUMBER($B$7),ISNUMBER($B$8)),$B$8+$B$7*B315,"")</f>
        <v/>
      </c>
      <c r="E315" s="11">
        <f>IF(ISNUMBER(D315),C315-D315,"")</f>
        <v/>
      </c>
    </row>
    <row r="316">
      <c r="A316" s="10">
        <f>IF(Data!A298="","",Data!A298)</f>
        <v/>
      </c>
      <c r="B316" s="10">
        <f>IF(Data!B298="","",Data!B298)</f>
        <v/>
      </c>
      <c r="C316" s="10">
        <f>IF(Data!C298="","",Data!C298)</f>
        <v/>
      </c>
      <c r="D316" s="11">
        <f>IF(AND(ISNUMBER(B316),ISNUMBER(C316),ISNUMBER($B$7),ISNUMBER($B$8)),$B$8+$B$7*B316,"")</f>
        <v/>
      </c>
      <c r="E316" s="11">
        <f>IF(ISNUMBER(D316),C316-D316,"")</f>
        <v/>
      </c>
    </row>
    <row r="317">
      <c r="A317" s="10">
        <f>IF(Data!A299="","",Data!A299)</f>
        <v/>
      </c>
      <c r="B317" s="10">
        <f>IF(Data!B299="","",Data!B299)</f>
        <v/>
      </c>
      <c r="C317" s="10">
        <f>IF(Data!C299="","",Data!C299)</f>
        <v/>
      </c>
      <c r="D317" s="11">
        <f>IF(AND(ISNUMBER(B317),ISNUMBER(C317),ISNUMBER($B$7),ISNUMBER($B$8)),$B$8+$B$7*B317,"")</f>
        <v/>
      </c>
      <c r="E317" s="11">
        <f>IF(ISNUMBER(D317),C317-D317,"")</f>
        <v/>
      </c>
    </row>
    <row r="318">
      <c r="A318" s="10">
        <f>IF(Data!A300="","",Data!A300)</f>
        <v/>
      </c>
      <c r="B318" s="10">
        <f>IF(Data!B300="","",Data!B300)</f>
        <v/>
      </c>
      <c r="C318" s="10">
        <f>IF(Data!C300="","",Data!C300)</f>
        <v/>
      </c>
      <c r="D318" s="11">
        <f>IF(AND(ISNUMBER(B318),ISNUMBER(C318),ISNUMBER($B$7),ISNUMBER($B$8)),$B$8+$B$7*B318,"")</f>
        <v/>
      </c>
      <c r="E318" s="11">
        <f>IF(ISNUMBER(D318),C318-D318,"")</f>
        <v/>
      </c>
    </row>
    <row r="319">
      <c r="A319" s="10">
        <f>IF(Data!A301="","",Data!A301)</f>
        <v/>
      </c>
      <c r="B319" s="10">
        <f>IF(Data!B301="","",Data!B301)</f>
        <v/>
      </c>
      <c r="C319" s="10">
        <f>IF(Data!C301="","",Data!C301)</f>
        <v/>
      </c>
      <c r="D319" s="11">
        <f>IF(AND(ISNUMBER(B319),ISNUMBER(C319),ISNUMBER($B$7),ISNUMBER($B$8)),$B$8+$B$7*B319,"")</f>
        <v/>
      </c>
      <c r="E319" s="11">
        <f>IF(ISNUMBER(D319),C319-D319,"")</f>
        <v/>
      </c>
    </row>
    <row r="320">
      <c r="A320" s="10">
        <f>IF(Data!A302="","",Data!A302)</f>
        <v/>
      </c>
      <c r="B320" s="10">
        <f>IF(Data!B302="","",Data!B302)</f>
        <v/>
      </c>
      <c r="C320" s="10">
        <f>IF(Data!C302="","",Data!C302)</f>
        <v/>
      </c>
      <c r="D320" s="11">
        <f>IF(AND(ISNUMBER(B320),ISNUMBER(C320),ISNUMBER($B$7),ISNUMBER($B$8)),$B$8+$B$7*B320,"")</f>
        <v/>
      </c>
      <c r="E320" s="11">
        <f>IF(ISNUMBER(D320),C320-D320,"")</f>
        <v/>
      </c>
    </row>
    <row r="321">
      <c r="A321" s="10">
        <f>IF(Data!A303="","",Data!A303)</f>
        <v/>
      </c>
      <c r="B321" s="10">
        <f>IF(Data!B303="","",Data!B303)</f>
        <v/>
      </c>
      <c r="C321" s="10">
        <f>IF(Data!C303="","",Data!C303)</f>
        <v/>
      </c>
      <c r="D321" s="11">
        <f>IF(AND(ISNUMBER(B321),ISNUMBER(C321),ISNUMBER($B$7),ISNUMBER($B$8)),$B$8+$B$7*B321,"")</f>
        <v/>
      </c>
      <c r="E321" s="11">
        <f>IF(ISNUMBER(D321),C321-D321,"")</f>
        <v/>
      </c>
    </row>
    <row r="322">
      <c r="A322" s="10">
        <f>IF(Data!A304="","",Data!A304)</f>
        <v/>
      </c>
      <c r="B322" s="10">
        <f>IF(Data!B304="","",Data!B304)</f>
        <v/>
      </c>
      <c r="C322" s="10">
        <f>IF(Data!C304="","",Data!C304)</f>
        <v/>
      </c>
      <c r="D322" s="11">
        <f>IF(AND(ISNUMBER(B322),ISNUMBER(C322),ISNUMBER($B$7),ISNUMBER($B$8)),$B$8+$B$7*B322,"")</f>
        <v/>
      </c>
      <c r="E322" s="11">
        <f>IF(ISNUMBER(D322),C322-D322,"")</f>
        <v/>
      </c>
    </row>
    <row r="323">
      <c r="A323" s="10">
        <f>IF(Data!A305="","",Data!A305)</f>
        <v/>
      </c>
      <c r="B323" s="10">
        <f>IF(Data!B305="","",Data!B305)</f>
        <v/>
      </c>
      <c r="C323" s="10">
        <f>IF(Data!C305="","",Data!C305)</f>
        <v/>
      </c>
      <c r="D323" s="11">
        <f>IF(AND(ISNUMBER(B323),ISNUMBER(C323),ISNUMBER($B$7),ISNUMBER($B$8)),$B$8+$B$7*B323,"")</f>
        <v/>
      </c>
      <c r="E323" s="11">
        <f>IF(ISNUMBER(D323),C323-D323,"")</f>
        <v/>
      </c>
    </row>
    <row r="324">
      <c r="A324" s="10">
        <f>IF(Data!A306="","",Data!A306)</f>
        <v/>
      </c>
      <c r="B324" s="10">
        <f>IF(Data!B306="","",Data!B306)</f>
        <v/>
      </c>
      <c r="C324" s="10">
        <f>IF(Data!C306="","",Data!C306)</f>
        <v/>
      </c>
      <c r="D324" s="11">
        <f>IF(AND(ISNUMBER(B324),ISNUMBER(C324),ISNUMBER($B$7),ISNUMBER($B$8)),$B$8+$B$7*B324,"")</f>
        <v/>
      </c>
      <c r="E324" s="11">
        <f>IF(ISNUMBER(D324),C324-D324,"")</f>
        <v/>
      </c>
    </row>
    <row r="325">
      <c r="A325" s="10">
        <f>IF(Data!A307="","",Data!A307)</f>
        <v/>
      </c>
      <c r="B325" s="10">
        <f>IF(Data!B307="","",Data!B307)</f>
        <v/>
      </c>
      <c r="C325" s="10">
        <f>IF(Data!C307="","",Data!C307)</f>
        <v/>
      </c>
      <c r="D325" s="11">
        <f>IF(AND(ISNUMBER(B325),ISNUMBER(C325),ISNUMBER($B$7),ISNUMBER($B$8)),$B$8+$B$7*B325,"")</f>
        <v/>
      </c>
      <c r="E325" s="11">
        <f>IF(ISNUMBER(D325),C325-D325,"")</f>
        <v/>
      </c>
    </row>
    <row r="326">
      <c r="A326" s="10">
        <f>IF(Data!A308="","",Data!A308)</f>
        <v/>
      </c>
      <c r="B326" s="10">
        <f>IF(Data!B308="","",Data!B308)</f>
        <v/>
      </c>
      <c r="C326" s="10">
        <f>IF(Data!C308="","",Data!C308)</f>
        <v/>
      </c>
      <c r="D326" s="11">
        <f>IF(AND(ISNUMBER(B326),ISNUMBER(C326),ISNUMBER($B$7),ISNUMBER($B$8)),$B$8+$B$7*B326,"")</f>
        <v/>
      </c>
      <c r="E326" s="11">
        <f>IF(ISNUMBER(D326),C326-D326,"")</f>
        <v/>
      </c>
    </row>
    <row r="327">
      <c r="A327" s="10">
        <f>IF(Data!A309="","",Data!A309)</f>
        <v/>
      </c>
      <c r="B327" s="10">
        <f>IF(Data!B309="","",Data!B309)</f>
        <v/>
      </c>
      <c r="C327" s="10">
        <f>IF(Data!C309="","",Data!C309)</f>
        <v/>
      </c>
      <c r="D327" s="11">
        <f>IF(AND(ISNUMBER(B327),ISNUMBER(C327),ISNUMBER($B$7),ISNUMBER($B$8)),$B$8+$B$7*B327,"")</f>
        <v/>
      </c>
      <c r="E327" s="11">
        <f>IF(ISNUMBER(D327),C327-D327,"")</f>
        <v/>
      </c>
    </row>
    <row r="328">
      <c r="A328" s="10">
        <f>IF(Data!A310="","",Data!A310)</f>
        <v/>
      </c>
      <c r="B328" s="10">
        <f>IF(Data!B310="","",Data!B310)</f>
        <v/>
      </c>
      <c r="C328" s="10">
        <f>IF(Data!C310="","",Data!C310)</f>
        <v/>
      </c>
      <c r="D328" s="11">
        <f>IF(AND(ISNUMBER(B328),ISNUMBER(C328),ISNUMBER($B$7),ISNUMBER($B$8)),$B$8+$B$7*B328,"")</f>
        <v/>
      </c>
      <c r="E328" s="11">
        <f>IF(ISNUMBER(D328),C328-D328,"")</f>
        <v/>
      </c>
    </row>
    <row r="329">
      <c r="A329" s="10">
        <f>IF(Data!A311="","",Data!A311)</f>
        <v/>
      </c>
      <c r="B329" s="10">
        <f>IF(Data!B311="","",Data!B311)</f>
        <v/>
      </c>
      <c r="C329" s="10">
        <f>IF(Data!C311="","",Data!C311)</f>
        <v/>
      </c>
      <c r="D329" s="11">
        <f>IF(AND(ISNUMBER(B329),ISNUMBER(C329),ISNUMBER($B$7),ISNUMBER($B$8)),$B$8+$B$7*B329,"")</f>
        <v/>
      </c>
      <c r="E329" s="11">
        <f>IF(ISNUMBER(D329),C329-D329,"")</f>
        <v/>
      </c>
    </row>
    <row r="330">
      <c r="A330" s="10">
        <f>IF(Data!A312="","",Data!A312)</f>
        <v/>
      </c>
      <c r="B330" s="10">
        <f>IF(Data!B312="","",Data!B312)</f>
        <v/>
      </c>
      <c r="C330" s="10">
        <f>IF(Data!C312="","",Data!C312)</f>
        <v/>
      </c>
      <c r="D330" s="11">
        <f>IF(AND(ISNUMBER(B330),ISNUMBER(C330),ISNUMBER($B$7),ISNUMBER($B$8)),$B$8+$B$7*B330,"")</f>
        <v/>
      </c>
      <c r="E330" s="11">
        <f>IF(ISNUMBER(D330),C330-D330,"")</f>
        <v/>
      </c>
    </row>
    <row r="331">
      <c r="A331" s="10">
        <f>IF(Data!A313="","",Data!A313)</f>
        <v/>
      </c>
      <c r="B331" s="10">
        <f>IF(Data!B313="","",Data!B313)</f>
        <v/>
      </c>
      <c r="C331" s="10">
        <f>IF(Data!C313="","",Data!C313)</f>
        <v/>
      </c>
      <c r="D331" s="11">
        <f>IF(AND(ISNUMBER(B331),ISNUMBER(C331),ISNUMBER($B$7),ISNUMBER($B$8)),$B$8+$B$7*B331,"")</f>
        <v/>
      </c>
      <c r="E331" s="11">
        <f>IF(ISNUMBER(D331),C331-D331,"")</f>
        <v/>
      </c>
    </row>
    <row r="332">
      <c r="A332" s="10">
        <f>IF(Data!A314="","",Data!A314)</f>
        <v/>
      </c>
      <c r="B332" s="10">
        <f>IF(Data!B314="","",Data!B314)</f>
        <v/>
      </c>
      <c r="C332" s="10">
        <f>IF(Data!C314="","",Data!C314)</f>
        <v/>
      </c>
      <c r="D332" s="11">
        <f>IF(AND(ISNUMBER(B332),ISNUMBER(C332),ISNUMBER($B$7),ISNUMBER($B$8)),$B$8+$B$7*B332,"")</f>
        <v/>
      </c>
      <c r="E332" s="11">
        <f>IF(ISNUMBER(D332),C332-D332,"")</f>
        <v/>
      </c>
    </row>
    <row r="333">
      <c r="A333" s="10">
        <f>IF(Data!A315="","",Data!A315)</f>
        <v/>
      </c>
      <c r="B333" s="10">
        <f>IF(Data!B315="","",Data!B315)</f>
        <v/>
      </c>
      <c r="C333" s="10">
        <f>IF(Data!C315="","",Data!C315)</f>
        <v/>
      </c>
      <c r="D333" s="11">
        <f>IF(AND(ISNUMBER(B333),ISNUMBER(C333),ISNUMBER($B$7),ISNUMBER($B$8)),$B$8+$B$7*B333,"")</f>
        <v/>
      </c>
      <c r="E333" s="11">
        <f>IF(ISNUMBER(D333),C333-D333,"")</f>
        <v/>
      </c>
    </row>
    <row r="334">
      <c r="A334" s="10">
        <f>IF(Data!A316="","",Data!A316)</f>
        <v/>
      </c>
      <c r="B334" s="10">
        <f>IF(Data!B316="","",Data!B316)</f>
        <v/>
      </c>
      <c r="C334" s="10">
        <f>IF(Data!C316="","",Data!C316)</f>
        <v/>
      </c>
      <c r="D334" s="11">
        <f>IF(AND(ISNUMBER(B334),ISNUMBER(C334),ISNUMBER($B$7),ISNUMBER($B$8)),$B$8+$B$7*B334,"")</f>
        <v/>
      </c>
      <c r="E334" s="11">
        <f>IF(ISNUMBER(D334),C334-D334,"")</f>
        <v/>
      </c>
    </row>
    <row r="335">
      <c r="A335" s="10">
        <f>IF(Data!A317="","",Data!A317)</f>
        <v/>
      </c>
      <c r="B335" s="10">
        <f>IF(Data!B317="","",Data!B317)</f>
        <v/>
      </c>
      <c r="C335" s="10">
        <f>IF(Data!C317="","",Data!C317)</f>
        <v/>
      </c>
      <c r="D335" s="11">
        <f>IF(AND(ISNUMBER(B335),ISNUMBER(C335),ISNUMBER($B$7),ISNUMBER($B$8)),$B$8+$B$7*B335,"")</f>
        <v/>
      </c>
      <c r="E335" s="11">
        <f>IF(ISNUMBER(D335),C335-D335,"")</f>
        <v/>
      </c>
    </row>
    <row r="336">
      <c r="A336" s="10">
        <f>IF(Data!A318="","",Data!A318)</f>
        <v/>
      </c>
      <c r="B336" s="10">
        <f>IF(Data!B318="","",Data!B318)</f>
        <v/>
      </c>
      <c r="C336" s="10">
        <f>IF(Data!C318="","",Data!C318)</f>
        <v/>
      </c>
      <c r="D336" s="11">
        <f>IF(AND(ISNUMBER(B336),ISNUMBER(C336),ISNUMBER($B$7),ISNUMBER($B$8)),$B$8+$B$7*B336,"")</f>
        <v/>
      </c>
      <c r="E336" s="11">
        <f>IF(ISNUMBER(D336),C336-D336,"")</f>
        <v/>
      </c>
    </row>
    <row r="337">
      <c r="A337" s="10">
        <f>IF(Data!A319="","",Data!A319)</f>
        <v/>
      </c>
      <c r="B337" s="10">
        <f>IF(Data!B319="","",Data!B319)</f>
        <v/>
      </c>
      <c r="C337" s="10">
        <f>IF(Data!C319="","",Data!C319)</f>
        <v/>
      </c>
      <c r="D337" s="11">
        <f>IF(AND(ISNUMBER(B337),ISNUMBER(C337),ISNUMBER($B$7),ISNUMBER($B$8)),$B$8+$B$7*B337,"")</f>
        <v/>
      </c>
      <c r="E337" s="11">
        <f>IF(ISNUMBER(D337),C337-D337,"")</f>
        <v/>
      </c>
    </row>
    <row r="338">
      <c r="A338" s="10">
        <f>IF(Data!A320="","",Data!A320)</f>
        <v/>
      </c>
      <c r="B338" s="10">
        <f>IF(Data!B320="","",Data!B320)</f>
        <v/>
      </c>
      <c r="C338" s="10">
        <f>IF(Data!C320="","",Data!C320)</f>
        <v/>
      </c>
      <c r="D338" s="11">
        <f>IF(AND(ISNUMBER(B338),ISNUMBER(C338),ISNUMBER($B$7),ISNUMBER($B$8)),$B$8+$B$7*B338,"")</f>
        <v/>
      </c>
      <c r="E338" s="11">
        <f>IF(ISNUMBER(D338),C338-D338,"")</f>
        <v/>
      </c>
    </row>
    <row r="339">
      <c r="A339" s="10">
        <f>IF(Data!A321="","",Data!A321)</f>
        <v/>
      </c>
      <c r="B339" s="10">
        <f>IF(Data!B321="","",Data!B321)</f>
        <v/>
      </c>
      <c r="C339" s="10">
        <f>IF(Data!C321="","",Data!C321)</f>
        <v/>
      </c>
      <c r="D339" s="11">
        <f>IF(AND(ISNUMBER(B339),ISNUMBER(C339),ISNUMBER($B$7),ISNUMBER($B$8)),$B$8+$B$7*B339,"")</f>
        <v/>
      </c>
      <c r="E339" s="11">
        <f>IF(ISNUMBER(D339),C339-D339,"")</f>
        <v/>
      </c>
    </row>
    <row r="340">
      <c r="A340" s="10">
        <f>IF(Data!A322="","",Data!A322)</f>
        <v/>
      </c>
      <c r="B340" s="10">
        <f>IF(Data!B322="","",Data!B322)</f>
        <v/>
      </c>
      <c r="C340" s="10">
        <f>IF(Data!C322="","",Data!C322)</f>
        <v/>
      </c>
      <c r="D340" s="11">
        <f>IF(AND(ISNUMBER(B340),ISNUMBER(C340),ISNUMBER($B$7),ISNUMBER($B$8)),$B$8+$B$7*B340,"")</f>
        <v/>
      </c>
      <c r="E340" s="11">
        <f>IF(ISNUMBER(D340),C340-D340,"")</f>
        <v/>
      </c>
    </row>
    <row r="341">
      <c r="A341" s="10">
        <f>IF(Data!A323="","",Data!A323)</f>
        <v/>
      </c>
      <c r="B341" s="10">
        <f>IF(Data!B323="","",Data!B323)</f>
        <v/>
      </c>
      <c r="C341" s="10">
        <f>IF(Data!C323="","",Data!C323)</f>
        <v/>
      </c>
      <c r="D341" s="11">
        <f>IF(AND(ISNUMBER(B341),ISNUMBER(C341),ISNUMBER($B$7),ISNUMBER($B$8)),$B$8+$B$7*B341,"")</f>
        <v/>
      </c>
      <c r="E341" s="11">
        <f>IF(ISNUMBER(D341),C341-D341,"")</f>
        <v/>
      </c>
    </row>
    <row r="342">
      <c r="A342" s="10">
        <f>IF(Data!A324="","",Data!A324)</f>
        <v/>
      </c>
      <c r="B342" s="10">
        <f>IF(Data!B324="","",Data!B324)</f>
        <v/>
      </c>
      <c r="C342" s="10">
        <f>IF(Data!C324="","",Data!C324)</f>
        <v/>
      </c>
      <c r="D342" s="11">
        <f>IF(AND(ISNUMBER(B342),ISNUMBER(C342),ISNUMBER($B$7),ISNUMBER($B$8)),$B$8+$B$7*B342,"")</f>
        <v/>
      </c>
      <c r="E342" s="11">
        <f>IF(ISNUMBER(D342),C342-D342,"")</f>
        <v/>
      </c>
    </row>
    <row r="343">
      <c r="A343" s="10">
        <f>IF(Data!A325="","",Data!A325)</f>
        <v/>
      </c>
      <c r="B343" s="10">
        <f>IF(Data!B325="","",Data!B325)</f>
        <v/>
      </c>
      <c r="C343" s="10">
        <f>IF(Data!C325="","",Data!C325)</f>
        <v/>
      </c>
      <c r="D343" s="11">
        <f>IF(AND(ISNUMBER(B343),ISNUMBER(C343),ISNUMBER($B$7),ISNUMBER($B$8)),$B$8+$B$7*B343,"")</f>
        <v/>
      </c>
      <c r="E343" s="11">
        <f>IF(ISNUMBER(D343),C343-D343,"")</f>
        <v/>
      </c>
    </row>
    <row r="344">
      <c r="A344" s="10">
        <f>IF(Data!A326="","",Data!A326)</f>
        <v/>
      </c>
      <c r="B344" s="10">
        <f>IF(Data!B326="","",Data!B326)</f>
        <v/>
      </c>
      <c r="C344" s="10">
        <f>IF(Data!C326="","",Data!C326)</f>
        <v/>
      </c>
      <c r="D344" s="11">
        <f>IF(AND(ISNUMBER(B344),ISNUMBER(C344),ISNUMBER($B$7),ISNUMBER($B$8)),$B$8+$B$7*B344,"")</f>
        <v/>
      </c>
      <c r="E344" s="11">
        <f>IF(ISNUMBER(D344),C344-D344,"")</f>
        <v/>
      </c>
    </row>
    <row r="345">
      <c r="A345" s="10">
        <f>IF(Data!A327="","",Data!A327)</f>
        <v/>
      </c>
      <c r="B345" s="10">
        <f>IF(Data!B327="","",Data!B327)</f>
        <v/>
      </c>
      <c r="C345" s="10">
        <f>IF(Data!C327="","",Data!C327)</f>
        <v/>
      </c>
      <c r="D345" s="11">
        <f>IF(AND(ISNUMBER(B345),ISNUMBER(C345),ISNUMBER($B$7),ISNUMBER($B$8)),$B$8+$B$7*B345,"")</f>
        <v/>
      </c>
      <c r="E345" s="11">
        <f>IF(ISNUMBER(D345),C345-D345,"")</f>
        <v/>
      </c>
    </row>
    <row r="346">
      <c r="A346" s="10">
        <f>IF(Data!A328="","",Data!A328)</f>
        <v/>
      </c>
      <c r="B346" s="10">
        <f>IF(Data!B328="","",Data!B328)</f>
        <v/>
      </c>
      <c r="C346" s="10">
        <f>IF(Data!C328="","",Data!C328)</f>
        <v/>
      </c>
      <c r="D346" s="11">
        <f>IF(AND(ISNUMBER(B346),ISNUMBER(C346),ISNUMBER($B$7),ISNUMBER($B$8)),$B$8+$B$7*B346,"")</f>
        <v/>
      </c>
      <c r="E346" s="11">
        <f>IF(ISNUMBER(D346),C346-D346,"")</f>
        <v/>
      </c>
    </row>
    <row r="347">
      <c r="A347" s="10">
        <f>IF(Data!A329="","",Data!A329)</f>
        <v/>
      </c>
      <c r="B347" s="10">
        <f>IF(Data!B329="","",Data!B329)</f>
        <v/>
      </c>
      <c r="C347" s="10">
        <f>IF(Data!C329="","",Data!C329)</f>
        <v/>
      </c>
      <c r="D347" s="11">
        <f>IF(AND(ISNUMBER(B347),ISNUMBER(C347),ISNUMBER($B$7),ISNUMBER($B$8)),$B$8+$B$7*B347,"")</f>
        <v/>
      </c>
      <c r="E347" s="11">
        <f>IF(ISNUMBER(D347),C347-D347,"")</f>
        <v/>
      </c>
    </row>
    <row r="348">
      <c r="A348" s="10">
        <f>IF(Data!A330="","",Data!A330)</f>
        <v/>
      </c>
      <c r="B348" s="10">
        <f>IF(Data!B330="","",Data!B330)</f>
        <v/>
      </c>
      <c r="C348" s="10">
        <f>IF(Data!C330="","",Data!C330)</f>
        <v/>
      </c>
      <c r="D348" s="11">
        <f>IF(AND(ISNUMBER(B348),ISNUMBER(C348),ISNUMBER($B$7),ISNUMBER($B$8)),$B$8+$B$7*B348,"")</f>
        <v/>
      </c>
      <c r="E348" s="11">
        <f>IF(ISNUMBER(D348),C348-D348,"")</f>
        <v/>
      </c>
    </row>
    <row r="349">
      <c r="A349" s="10">
        <f>IF(Data!A331="","",Data!A331)</f>
        <v/>
      </c>
      <c r="B349" s="10">
        <f>IF(Data!B331="","",Data!B331)</f>
        <v/>
      </c>
      <c r="C349" s="10">
        <f>IF(Data!C331="","",Data!C331)</f>
        <v/>
      </c>
      <c r="D349" s="11">
        <f>IF(AND(ISNUMBER(B349),ISNUMBER(C349),ISNUMBER($B$7),ISNUMBER($B$8)),$B$8+$B$7*B349,"")</f>
        <v/>
      </c>
      <c r="E349" s="11">
        <f>IF(ISNUMBER(D349),C349-D349,"")</f>
        <v/>
      </c>
    </row>
    <row r="350">
      <c r="A350" s="10">
        <f>IF(Data!A332="","",Data!A332)</f>
        <v/>
      </c>
      <c r="B350" s="10">
        <f>IF(Data!B332="","",Data!B332)</f>
        <v/>
      </c>
      <c r="C350" s="10">
        <f>IF(Data!C332="","",Data!C332)</f>
        <v/>
      </c>
      <c r="D350" s="11">
        <f>IF(AND(ISNUMBER(B350),ISNUMBER(C350),ISNUMBER($B$7),ISNUMBER($B$8)),$B$8+$B$7*B350,"")</f>
        <v/>
      </c>
      <c r="E350" s="11">
        <f>IF(ISNUMBER(D350),C350-D350,"")</f>
        <v/>
      </c>
    </row>
    <row r="351">
      <c r="A351" s="10">
        <f>IF(Data!A333="","",Data!A333)</f>
        <v/>
      </c>
      <c r="B351" s="10">
        <f>IF(Data!B333="","",Data!B333)</f>
        <v/>
      </c>
      <c r="C351" s="10">
        <f>IF(Data!C333="","",Data!C333)</f>
        <v/>
      </c>
      <c r="D351" s="11">
        <f>IF(AND(ISNUMBER(B351),ISNUMBER(C351),ISNUMBER($B$7),ISNUMBER($B$8)),$B$8+$B$7*B351,"")</f>
        <v/>
      </c>
      <c r="E351" s="11">
        <f>IF(ISNUMBER(D351),C351-D351,"")</f>
        <v/>
      </c>
    </row>
    <row r="352">
      <c r="A352" s="10">
        <f>IF(Data!A334="","",Data!A334)</f>
        <v/>
      </c>
      <c r="B352" s="10">
        <f>IF(Data!B334="","",Data!B334)</f>
        <v/>
      </c>
      <c r="C352" s="10">
        <f>IF(Data!C334="","",Data!C334)</f>
        <v/>
      </c>
      <c r="D352" s="11">
        <f>IF(AND(ISNUMBER(B352),ISNUMBER(C352),ISNUMBER($B$7),ISNUMBER($B$8)),$B$8+$B$7*B352,"")</f>
        <v/>
      </c>
      <c r="E352" s="11">
        <f>IF(ISNUMBER(D352),C352-D352,"")</f>
        <v/>
      </c>
    </row>
    <row r="353">
      <c r="A353" s="10">
        <f>IF(Data!A335="","",Data!A335)</f>
        <v/>
      </c>
      <c r="B353" s="10">
        <f>IF(Data!B335="","",Data!B335)</f>
        <v/>
      </c>
      <c r="C353" s="10">
        <f>IF(Data!C335="","",Data!C335)</f>
        <v/>
      </c>
      <c r="D353" s="11">
        <f>IF(AND(ISNUMBER(B353),ISNUMBER(C353),ISNUMBER($B$7),ISNUMBER($B$8)),$B$8+$B$7*B353,"")</f>
        <v/>
      </c>
      <c r="E353" s="11">
        <f>IF(ISNUMBER(D353),C353-D353,"")</f>
        <v/>
      </c>
    </row>
    <row r="354">
      <c r="A354" s="10">
        <f>IF(Data!A336="","",Data!A336)</f>
        <v/>
      </c>
      <c r="B354" s="10">
        <f>IF(Data!B336="","",Data!B336)</f>
        <v/>
      </c>
      <c r="C354" s="10">
        <f>IF(Data!C336="","",Data!C336)</f>
        <v/>
      </c>
      <c r="D354" s="11">
        <f>IF(AND(ISNUMBER(B354),ISNUMBER(C354),ISNUMBER($B$7),ISNUMBER($B$8)),$B$8+$B$7*B354,"")</f>
        <v/>
      </c>
      <c r="E354" s="11">
        <f>IF(ISNUMBER(D354),C354-D354,"")</f>
        <v/>
      </c>
    </row>
    <row r="355">
      <c r="A355" s="10">
        <f>IF(Data!A337="","",Data!A337)</f>
        <v/>
      </c>
      <c r="B355" s="10">
        <f>IF(Data!B337="","",Data!B337)</f>
        <v/>
      </c>
      <c r="C355" s="10">
        <f>IF(Data!C337="","",Data!C337)</f>
        <v/>
      </c>
      <c r="D355" s="11">
        <f>IF(AND(ISNUMBER(B355),ISNUMBER(C355),ISNUMBER($B$7),ISNUMBER($B$8)),$B$8+$B$7*B355,"")</f>
        <v/>
      </c>
      <c r="E355" s="11">
        <f>IF(ISNUMBER(D355),C355-D355,"")</f>
        <v/>
      </c>
    </row>
    <row r="356">
      <c r="A356" s="10">
        <f>IF(Data!A338="","",Data!A338)</f>
        <v/>
      </c>
      <c r="B356" s="10">
        <f>IF(Data!B338="","",Data!B338)</f>
        <v/>
      </c>
      <c r="C356" s="10">
        <f>IF(Data!C338="","",Data!C338)</f>
        <v/>
      </c>
      <c r="D356" s="11">
        <f>IF(AND(ISNUMBER(B356),ISNUMBER(C356),ISNUMBER($B$7),ISNUMBER($B$8)),$B$8+$B$7*B356,"")</f>
        <v/>
      </c>
      <c r="E356" s="11">
        <f>IF(ISNUMBER(D356),C356-D356,"")</f>
        <v/>
      </c>
    </row>
    <row r="357">
      <c r="A357" s="10">
        <f>IF(Data!A339="","",Data!A339)</f>
        <v/>
      </c>
      <c r="B357" s="10">
        <f>IF(Data!B339="","",Data!B339)</f>
        <v/>
      </c>
      <c r="C357" s="10">
        <f>IF(Data!C339="","",Data!C339)</f>
        <v/>
      </c>
      <c r="D357" s="11">
        <f>IF(AND(ISNUMBER(B357),ISNUMBER(C357),ISNUMBER($B$7),ISNUMBER($B$8)),$B$8+$B$7*B357,"")</f>
        <v/>
      </c>
      <c r="E357" s="11">
        <f>IF(ISNUMBER(D357),C357-D357,"")</f>
        <v/>
      </c>
    </row>
    <row r="358">
      <c r="A358" s="10">
        <f>IF(Data!A340="","",Data!A340)</f>
        <v/>
      </c>
      <c r="B358" s="10">
        <f>IF(Data!B340="","",Data!B340)</f>
        <v/>
      </c>
      <c r="C358" s="10">
        <f>IF(Data!C340="","",Data!C340)</f>
        <v/>
      </c>
      <c r="D358" s="11">
        <f>IF(AND(ISNUMBER(B358),ISNUMBER(C358),ISNUMBER($B$7),ISNUMBER($B$8)),$B$8+$B$7*B358,"")</f>
        <v/>
      </c>
      <c r="E358" s="11">
        <f>IF(ISNUMBER(D358),C358-D358,"")</f>
        <v/>
      </c>
    </row>
    <row r="359">
      <c r="A359" s="10">
        <f>IF(Data!A341="","",Data!A341)</f>
        <v/>
      </c>
      <c r="B359" s="10">
        <f>IF(Data!B341="","",Data!B341)</f>
        <v/>
      </c>
      <c r="C359" s="10">
        <f>IF(Data!C341="","",Data!C341)</f>
        <v/>
      </c>
      <c r="D359" s="11">
        <f>IF(AND(ISNUMBER(B359),ISNUMBER(C359),ISNUMBER($B$7),ISNUMBER($B$8)),$B$8+$B$7*B359,"")</f>
        <v/>
      </c>
      <c r="E359" s="11">
        <f>IF(ISNUMBER(D359),C359-D359,"")</f>
        <v/>
      </c>
    </row>
    <row r="360">
      <c r="A360" s="10">
        <f>IF(Data!A342="","",Data!A342)</f>
        <v/>
      </c>
      <c r="B360" s="10">
        <f>IF(Data!B342="","",Data!B342)</f>
        <v/>
      </c>
      <c r="C360" s="10">
        <f>IF(Data!C342="","",Data!C342)</f>
        <v/>
      </c>
      <c r="D360" s="11">
        <f>IF(AND(ISNUMBER(B360),ISNUMBER(C360),ISNUMBER($B$7),ISNUMBER($B$8)),$B$8+$B$7*B360,"")</f>
        <v/>
      </c>
      <c r="E360" s="11">
        <f>IF(ISNUMBER(D360),C360-D360,"")</f>
        <v/>
      </c>
    </row>
    <row r="361">
      <c r="A361" s="10">
        <f>IF(Data!A343="","",Data!A343)</f>
        <v/>
      </c>
      <c r="B361" s="10">
        <f>IF(Data!B343="","",Data!B343)</f>
        <v/>
      </c>
      <c r="C361" s="10">
        <f>IF(Data!C343="","",Data!C343)</f>
        <v/>
      </c>
      <c r="D361" s="11">
        <f>IF(AND(ISNUMBER(B361),ISNUMBER(C361),ISNUMBER($B$7),ISNUMBER($B$8)),$B$8+$B$7*B361,"")</f>
        <v/>
      </c>
      <c r="E361" s="11">
        <f>IF(ISNUMBER(D361),C361-D361,"")</f>
        <v/>
      </c>
    </row>
    <row r="362">
      <c r="A362" s="10">
        <f>IF(Data!A344="","",Data!A344)</f>
        <v/>
      </c>
      <c r="B362" s="10">
        <f>IF(Data!B344="","",Data!B344)</f>
        <v/>
      </c>
      <c r="C362" s="10">
        <f>IF(Data!C344="","",Data!C344)</f>
        <v/>
      </c>
      <c r="D362" s="11">
        <f>IF(AND(ISNUMBER(B362),ISNUMBER(C362),ISNUMBER($B$7),ISNUMBER($B$8)),$B$8+$B$7*B362,"")</f>
        <v/>
      </c>
      <c r="E362" s="11">
        <f>IF(ISNUMBER(D362),C362-D362,"")</f>
        <v/>
      </c>
    </row>
    <row r="363">
      <c r="A363" s="10">
        <f>IF(Data!A345="","",Data!A345)</f>
        <v/>
      </c>
      <c r="B363" s="10">
        <f>IF(Data!B345="","",Data!B345)</f>
        <v/>
      </c>
      <c r="C363" s="10">
        <f>IF(Data!C345="","",Data!C345)</f>
        <v/>
      </c>
      <c r="D363" s="11">
        <f>IF(AND(ISNUMBER(B363),ISNUMBER(C363),ISNUMBER($B$7),ISNUMBER($B$8)),$B$8+$B$7*B363,"")</f>
        <v/>
      </c>
      <c r="E363" s="11">
        <f>IF(ISNUMBER(D363),C363-D363,"")</f>
        <v/>
      </c>
    </row>
    <row r="364">
      <c r="A364" s="10">
        <f>IF(Data!A346="","",Data!A346)</f>
        <v/>
      </c>
      <c r="B364" s="10">
        <f>IF(Data!B346="","",Data!B346)</f>
        <v/>
      </c>
      <c r="C364" s="10">
        <f>IF(Data!C346="","",Data!C346)</f>
        <v/>
      </c>
      <c r="D364" s="11">
        <f>IF(AND(ISNUMBER(B364),ISNUMBER(C364),ISNUMBER($B$7),ISNUMBER($B$8)),$B$8+$B$7*B364,"")</f>
        <v/>
      </c>
      <c r="E364" s="11">
        <f>IF(ISNUMBER(D364),C364-D364,"")</f>
        <v/>
      </c>
    </row>
    <row r="365">
      <c r="A365" s="10">
        <f>IF(Data!A347="","",Data!A347)</f>
        <v/>
      </c>
      <c r="B365" s="10">
        <f>IF(Data!B347="","",Data!B347)</f>
        <v/>
      </c>
      <c r="C365" s="10">
        <f>IF(Data!C347="","",Data!C347)</f>
        <v/>
      </c>
      <c r="D365" s="11">
        <f>IF(AND(ISNUMBER(B365),ISNUMBER(C365),ISNUMBER($B$7),ISNUMBER($B$8)),$B$8+$B$7*B365,"")</f>
        <v/>
      </c>
      <c r="E365" s="11">
        <f>IF(ISNUMBER(D365),C365-D365,"")</f>
        <v/>
      </c>
    </row>
    <row r="366">
      <c r="A366" s="10">
        <f>IF(Data!A348="","",Data!A348)</f>
        <v/>
      </c>
      <c r="B366" s="10">
        <f>IF(Data!B348="","",Data!B348)</f>
        <v/>
      </c>
      <c r="C366" s="10">
        <f>IF(Data!C348="","",Data!C348)</f>
        <v/>
      </c>
      <c r="D366" s="11">
        <f>IF(AND(ISNUMBER(B366),ISNUMBER(C366),ISNUMBER($B$7),ISNUMBER($B$8)),$B$8+$B$7*B366,"")</f>
        <v/>
      </c>
      <c r="E366" s="11">
        <f>IF(ISNUMBER(D366),C366-D366,"")</f>
        <v/>
      </c>
    </row>
    <row r="367">
      <c r="A367" s="10">
        <f>IF(Data!A349="","",Data!A349)</f>
        <v/>
      </c>
      <c r="B367" s="10">
        <f>IF(Data!B349="","",Data!B349)</f>
        <v/>
      </c>
      <c r="C367" s="10">
        <f>IF(Data!C349="","",Data!C349)</f>
        <v/>
      </c>
      <c r="D367" s="11">
        <f>IF(AND(ISNUMBER(B367),ISNUMBER(C367),ISNUMBER($B$7),ISNUMBER($B$8)),$B$8+$B$7*B367,"")</f>
        <v/>
      </c>
      <c r="E367" s="11">
        <f>IF(ISNUMBER(D367),C367-D367,"")</f>
        <v/>
      </c>
    </row>
    <row r="368">
      <c r="A368" s="10">
        <f>IF(Data!A350="","",Data!A350)</f>
        <v/>
      </c>
      <c r="B368" s="10">
        <f>IF(Data!B350="","",Data!B350)</f>
        <v/>
      </c>
      <c r="C368" s="10">
        <f>IF(Data!C350="","",Data!C350)</f>
        <v/>
      </c>
      <c r="D368" s="11">
        <f>IF(AND(ISNUMBER(B368),ISNUMBER(C368),ISNUMBER($B$7),ISNUMBER($B$8)),$B$8+$B$7*B368,"")</f>
        <v/>
      </c>
      <c r="E368" s="11">
        <f>IF(ISNUMBER(D368),C368-D368,"")</f>
        <v/>
      </c>
    </row>
    <row r="369">
      <c r="A369" s="10">
        <f>IF(Data!A351="","",Data!A351)</f>
        <v/>
      </c>
      <c r="B369" s="10">
        <f>IF(Data!B351="","",Data!B351)</f>
        <v/>
      </c>
      <c r="C369" s="10">
        <f>IF(Data!C351="","",Data!C351)</f>
        <v/>
      </c>
      <c r="D369" s="11">
        <f>IF(AND(ISNUMBER(B369),ISNUMBER(C369),ISNUMBER($B$7),ISNUMBER($B$8)),$B$8+$B$7*B369,"")</f>
        <v/>
      </c>
      <c r="E369" s="11">
        <f>IF(ISNUMBER(D369),C369-D369,"")</f>
        <v/>
      </c>
    </row>
    <row r="370">
      <c r="A370" s="10">
        <f>IF(Data!A352="","",Data!A352)</f>
        <v/>
      </c>
      <c r="B370" s="10">
        <f>IF(Data!B352="","",Data!B352)</f>
        <v/>
      </c>
      <c r="C370" s="10">
        <f>IF(Data!C352="","",Data!C352)</f>
        <v/>
      </c>
      <c r="D370" s="11">
        <f>IF(AND(ISNUMBER(B370),ISNUMBER(C370),ISNUMBER($B$7),ISNUMBER($B$8)),$B$8+$B$7*B370,"")</f>
        <v/>
      </c>
      <c r="E370" s="11">
        <f>IF(ISNUMBER(D370),C370-D370,"")</f>
        <v/>
      </c>
    </row>
    <row r="371">
      <c r="A371" s="10">
        <f>IF(Data!A353="","",Data!A353)</f>
        <v/>
      </c>
      <c r="B371" s="10">
        <f>IF(Data!B353="","",Data!B353)</f>
        <v/>
      </c>
      <c r="C371" s="10">
        <f>IF(Data!C353="","",Data!C353)</f>
        <v/>
      </c>
      <c r="D371" s="11">
        <f>IF(AND(ISNUMBER(B371),ISNUMBER(C371),ISNUMBER($B$7),ISNUMBER($B$8)),$B$8+$B$7*B371,"")</f>
        <v/>
      </c>
      <c r="E371" s="11">
        <f>IF(ISNUMBER(D371),C371-D371,"")</f>
        <v/>
      </c>
    </row>
    <row r="372">
      <c r="A372" s="10">
        <f>IF(Data!A354="","",Data!A354)</f>
        <v/>
      </c>
      <c r="B372" s="10">
        <f>IF(Data!B354="","",Data!B354)</f>
        <v/>
      </c>
      <c r="C372" s="10">
        <f>IF(Data!C354="","",Data!C354)</f>
        <v/>
      </c>
      <c r="D372" s="11">
        <f>IF(AND(ISNUMBER(B372),ISNUMBER(C372),ISNUMBER($B$7),ISNUMBER($B$8)),$B$8+$B$7*B372,"")</f>
        <v/>
      </c>
      <c r="E372" s="11">
        <f>IF(ISNUMBER(D372),C372-D372,"")</f>
        <v/>
      </c>
    </row>
    <row r="373">
      <c r="A373" s="10">
        <f>IF(Data!A355="","",Data!A355)</f>
        <v/>
      </c>
      <c r="B373" s="10">
        <f>IF(Data!B355="","",Data!B355)</f>
        <v/>
      </c>
      <c r="C373" s="10">
        <f>IF(Data!C355="","",Data!C355)</f>
        <v/>
      </c>
      <c r="D373" s="11">
        <f>IF(AND(ISNUMBER(B373),ISNUMBER(C373),ISNUMBER($B$7),ISNUMBER($B$8)),$B$8+$B$7*B373,"")</f>
        <v/>
      </c>
      <c r="E373" s="11">
        <f>IF(ISNUMBER(D373),C373-D373,"")</f>
        <v/>
      </c>
    </row>
    <row r="374">
      <c r="A374" s="10">
        <f>IF(Data!A356="","",Data!A356)</f>
        <v/>
      </c>
      <c r="B374" s="10">
        <f>IF(Data!B356="","",Data!B356)</f>
        <v/>
      </c>
      <c r="C374" s="10">
        <f>IF(Data!C356="","",Data!C356)</f>
        <v/>
      </c>
      <c r="D374" s="11">
        <f>IF(AND(ISNUMBER(B374),ISNUMBER(C374),ISNUMBER($B$7),ISNUMBER($B$8)),$B$8+$B$7*B374,"")</f>
        <v/>
      </c>
      <c r="E374" s="11">
        <f>IF(ISNUMBER(D374),C374-D374,"")</f>
        <v/>
      </c>
    </row>
    <row r="375">
      <c r="A375" s="10">
        <f>IF(Data!A357="","",Data!A357)</f>
        <v/>
      </c>
      <c r="B375" s="10">
        <f>IF(Data!B357="","",Data!B357)</f>
        <v/>
      </c>
      <c r="C375" s="10">
        <f>IF(Data!C357="","",Data!C357)</f>
        <v/>
      </c>
      <c r="D375" s="11">
        <f>IF(AND(ISNUMBER(B375),ISNUMBER(C375),ISNUMBER($B$7),ISNUMBER($B$8)),$B$8+$B$7*B375,"")</f>
        <v/>
      </c>
      <c r="E375" s="11">
        <f>IF(ISNUMBER(D375),C375-D375,"")</f>
        <v/>
      </c>
    </row>
    <row r="376">
      <c r="A376" s="10">
        <f>IF(Data!A358="","",Data!A358)</f>
        <v/>
      </c>
      <c r="B376" s="10">
        <f>IF(Data!B358="","",Data!B358)</f>
        <v/>
      </c>
      <c r="C376" s="10">
        <f>IF(Data!C358="","",Data!C358)</f>
        <v/>
      </c>
      <c r="D376" s="11">
        <f>IF(AND(ISNUMBER(B376),ISNUMBER(C376),ISNUMBER($B$7),ISNUMBER($B$8)),$B$8+$B$7*B376,"")</f>
        <v/>
      </c>
      <c r="E376" s="11">
        <f>IF(ISNUMBER(D376),C376-D376,"")</f>
        <v/>
      </c>
    </row>
    <row r="377">
      <c r="A377" s="10">
        <f>IF(Data!A359="","",Data!A359)</f>
        <v/>
      </c>
      <c r="B377" s="10">
        <f>IF(Data!B359="","",Data!B359)</f>
        <v/>
      </c>
      <c r="C377" s="10">
        <f>IF(Data!C359="","",Data!C359)</f>
        <v/>
      </c>
      <c r="D377" s="11">
        <f>IF(AND(ISNUMBER(B377),ISNUMBER(C377),ISNUMBER($B$7),ISNUMBER($B$8)),$B$8+$B$7*B377,"")</f>
        <v/>
      </c>
      <c r="E377" s="11">
        <f>IF(ISNUMBER(D377),C377-D377,"")</f>
        <v/>
      </c>
    </row>
    <row r="378">
      <c r="A378" s="10">
        <f>IF(Data!A360="","",Data!A360)</f>
        <v/>
      </c>
      <c r="B378" s="10">
        <f>IF(Data!B360="","",Data!B360)</f>
        <v/>
      </c>
      <c r="C378" s="10">
        <f>IF(Data!C360="","",Data!C360)</f>
        <v/>
      </c>
      <c r="D378" s="11">
        <f>IF(AND(ISNUMBER(B378),ISNUMBER(C378),ISNUMBER($B$7),ISNUMBER($B$8)),$B$8+$B$7*B378,"")</f>
        <v/>
      </c>
      <c r="E378" s="11">
        <f>IF(ISNUMBER(D378),C378-D378,"")</f>
        <v/>
      </c>
    </row>
    <row r="379">
      <c r="A379" s="10">
        <f>IF(Data!A361="","",Data!A361)</f>
        <v/>
      </c>
      <c r="B379" s="10">
        <f>IF(Data!B361="","",Data!B361)</f>
        <v/>
      </c>
      <c r="C379" s="10">
        <f>IF(Data!C361="","",Data!C361)</f>
        <v/>
      </c>
      <c r="D379" s="11">
        <f>IF(AND(ISNUMBER(B379),ISNUMBER(C379),ISNUMBER($B$7),ISNUMBER($B$8)),$B$8+$B$7*B379,"")</f>
        <v/>
      </c>
      <c r="E379" s="11">
        <f>IF(ISNUMBER(D379),C379-D379,"")</f>
        <v/>
      </c>
    </row>
    <row r="380">
      <c r="A380" s="10">
        <f>IF(Data!A362="","",Data!A362)</f>
        <v/>
      </c>
      <c r="B380" s="10">
        <f>IF(Data!B362="","",Data!B362)</f>
        <v/>
      </c>
      <c r="C380" s="10">
        <f>IF(Data!C362="","",Data!C362)</f>
        <v/>
      </c>
      <c r="D380" s="11">
        <f>IF(AND(ISNUMBER(B380),ISNUMBER(C380),ISNUMBER($B$7),ISNUMBER($B$8)),$B$8+$B$7*B380,"")</f>
        <v/>
      </c>
      <c r="E380" s="11">
        <f>IF(ISNUMBER(D380),C380-D380,"")</f>
        <v/>
      </c>
    </row>
    <row r="381">
      <c r="A381" s="10">
        <f>IF(Data!A363="","",Data!A363)</f>
        <v/>
      </c>
      <c r="B381" s="10">
        <f>IF(Data!B363="","",Data!B363)</f>
        <v/>
      </c>
      <c r="C381" s="10">
        <f>IF(Data!C363="","",Data!C363)</f>
        <v/>
      </c>
      <c r="D381" s="11">
        <f>IF(AND(ISNUMBER(B381),ISNUMBER(C381),ISNUMBER($B$7),ISNUMBER($B$8)),$B$8+$B$7*B381,"")</f>
        <v/>
      </c>
      <c r="E381" s="11">
        <f>IF(ISNUMBER(D381),C381-D381,"")</f>
        <v/>
      </c>
    </row>
    <row r="382">
      <c r="A382" s="10">
        <f>IF(Data!A364="","",Data!A364)</f>
        <v/>
      </c>
      <c r="B382" s="10">
        <f>IF(Data!B364="","",Data!B364)</f>
        <v/>
      </c>
      <c r="C382" s="10">
        <f>IF(Data!C364="","",Data!C364)</f>
        <v/>
      </c>
      <c r="D382" s="11">
        <f>IF(AND(ISNUMBER(B382),ISNUMBER(C382),ISNUMBER($B$7),ISNUMBER($B$8)),$B$8+$B$7*B382,"")</f>
        <v/>
      </c>
      <c r="E382" s="11">
        <f>IF(ISNUMBER(D382),C382-D382,"")</f>
        <v/>
      </c>
    </row>
    <row r="383">
      <c r="A383" s="10">
        <f>IF(Data!A365="","",Data!A365)</f>
        <v/>
      </c>
      <c r="B383" s="10">
        <f>IF(Data!B365="","",Data!B365)</f>
        <v/>
      </c>
      <c r="C383" s="10">
        <f>IF(Data!C365="","",Data!C365)</f>
        <v/>
      </c>
      <c r="D383" s="11">
        <f>IF(AND(ISNUMBER(B383),ISNUMBER(C383),ISNUMBER($B$7),ISNUMBER($B$8)),$B$8+$B$7*B383,"")</f>
        <v/>
      </c>
      <c r="E383" s="11">
        <f>IF(ISNUMBER(D383),C383-D383,"")</f>
        <v/>
      </c>
    </row>
    <row r="384">
      <c r="A384" s="10">
        <f>IF(Data!A366="","",Data!A366)</f>
        <v/>
      </c>
      <c r="B384" s="10">
        <f>IF(Data!B366="","",Data!B366)</f>
        <v/>
      </c>
      <c r="C384" s="10">
        <f>IF(Data!C366="","",Data!C366)</f>
        <v/>
      </c>
      <c r="D384" s="11">
        <f>IF(AND(ISNUMBER(B384),ISNUMBER(C384),ISNUMBER($B$7),ISNUMBER($B$8)),$B$8+$B$7*B384,"")</f>
        <v/>
      </c>
      <c r="E384" s="11">
        <f>IF(ISNUMBER(D384),C384-D384,"")</f>
        <v/>
      </c>
    </row>
    <row r="385">
      <c r="A385" s="10">
        <f>IF(Data!A367="","",Data!A367)</f>
        <v/>
      </c>
      <c r="B385" s="10">
        <f>IF(Data!B367="","",Data!B367)</f>
        <v/>
      </c>
      <c r="C385" s="10">
        <f>IF(Data!C367="","",Data!C367)</f>
        <v/>
      </c>
      <c r="D385" s="11">
        <f>IF(AND(ISNUMBER(B385),ISNUMBER(C385),ISNUMBER($B$7),ISNUMBER($B$8)),$B$8+$B$7*B385,"")</f>
        <v/>
      </c>
      <c r="E385" s="11">
        <f>IF(ISNUMBER(D385),C385-D385,"")</f>
        <v/>
      </c>
    </row>
    <row r="386">
      <c r="A386" s="10">
        <f>IF(Data!A368="","",Data!A368)</f>
        <v/>
      </c>
      <c r="B386" s="10">
        <f>IF(Data!B368="","",Data!B368)</f>
        <v/>
      </c>
      <c r="C386" s="10">
        <f>IF(Data!C368="","",Data!C368)</f>
        <v/>
      </c>
      <c r="D386" s="11">
        <f>IF(AND(ISNUMBER(B386),ISNUMBER(C386),ISNUMBER($B$7),ISNUMBER($B$8)),$B$8+$B$7*B386,"")</f>
        <v/>
      </c>
      <c r="E386" s="11">
        <f>IF(ISNUMBER(D386),C386-D386,"")</f>
        <v/>
      </c>
    </row>
    <row r="387">
      <c r="A387" s="10">
        <f>IF(Data!A369="","",Data!A369)</f>
        <v/>
      </c>
      <c r="B387" s="10">
        <f>IF(Data!B369="","",Data!B369)</f>
        <v/>
      </c>
      <c r="C387" s="10">
        <f>IF(Data!C369="","",Data!C369)</f>
        <v/>
      </c>
      <c r="D387" s="11">
        <f>IF(AND(ISNUMBER(B387),ISNUMBER(C387),ISNUMBER($B$7),ISNUMBER($B$8)),$B$8+$B$7*B387,"")</f>
        <v/>
      </c>
      <c r="E387" s="11">
        <f>IF(ISNUMBER(D387),C387-D387,"")</f>
        <v/>
      </c>
    </row>
    <row r="388">
      <c r="A388" s="10">
        <f>IF(Data!A370="","",Data!A370)</f>
        <v/>
      </c>
      <c r="B388" s="10">
        <f>IF(Data!B370="","",Data!B370)</f>
        <v/>
      </c>
      <c r="C388" s="10">
        <f>IF(Data!C370="","",Data!C370)</f>
        <v/>
      </c>
      <c r="D388" s="11">
        <f>IF(AND(ISNUMBER(B388),ISNUMBER(C388),ISNUMBER($B$7),ISNUMBER($B$8)),$B$8+$B$7*B388,"")</f>
        <v/>
      </c>
      <c r="E388" s="11">
        <f>IF(ISNUMBER(D388),C388-D388,"")</f>
        <v/>
      </c>
    </row>
    <row r="389">
      <c r="A389" s="10">
        <f>IF(Data!A371="","",Data!A371)</f>
        <v/>
      </c>
      <c r="B389" s="10">
        <f>IF(Data!B371="","",Data!B371)</f>
        <v/>
      </c>
      <c r="C389" s="10">
        <f>IF(Data!C371="","",Data!C371)</f>
        <v/>
      </c>
      <c r="D389" s="11">
        <f>IF(AND(ISNUMBER(B389),ISNUMBER(C389),ISNUMBER($B$7),ISNUMBER($B$8)),$B$8+$B$7*B389,"")</f>
        <v/>
      </c>
      <c r="E389" s="11">
        <f>IF(ISNUMBER(D389),C389-D389,"")</f>
        <v/>
      </c>
    </row>
    <row r="390">
      <c r="A390" s="10">
        <f>IF(Data!A372="","",Data!A372)</f>
        <v/>
      </c>
      <c r="B390" s="10">
        <f>IF(Data!B372="","",Data!B372)</f>
        <v/>
      </c>
      <c r="C390" s="10">
        <f>IF(Data!C372="","",Data!C372)</f>
        <v/>
      </c>
      <c r="D390" s="11">
        <f>IF(AND(ISNUMBER(B390),ISNUMBER(C390),ISNUMBER($B$7),ISNUMBER($B$8)),$B$8+$B$7*B390,"")</f>
        <v/>
      </c>
      <c r="E390" s="11">
        <f>IF(ISNUMBER(D390),C390-D390,"")</f>
        <v/>
      </c>
    </row>
    <row r="391">
      <c r="A391" s="10">
        <f>IF(Data!A373="","",Data!A373)</f>
        <v/>
      </c>
      <c r="B391" s="10">
        <f>IF(Data!B373="","",Data!B373)</f>
        <v/>
      </c>
      <c r="C391" s="10">
        <f>IF(Data!C373="","",Data!C373)</f>
        <v/>
      </c>
      <c r="D391" s="11">
        <f>IF(AND(ISNUMBER(B391),ISNUMBER(C391),ISNUMBER($B$7),ISNUMBER($B$8)),$B$8+$B$7*B391,"")</f>
        <v/>
      </c>
      <c r="E391" s="11">
        <f>IF(ISNUMBER(D391),C391-D391,"")</f>
        <v/>
      </c>
    </row>
    <row r="392">
      <c r="A392" s="10">
        <f>IF(Data!A374="","",Data!A374)</f>
        <v/>
      </c>
      <c r="B392" s="10">
        <f>IF(Data!B374="","",Data!B374)</f>
        <v/>
      </c>
      <c r="C392" s="10">
        <f>IF(Data!C374="","",Data!C374)</f>
        <v/>
      </c>
      <c r="D392" s="11">
        <f>IF(AND(ISNUMBER(B392),ISNUMBER(C392),ISNUMBER($B$7),ISNUMBER($B$8)),$B$8+$B$7*B392,"")</f>
        <v/>
      </c>
      <c r="E392" s="11">
        <f>IF(ISNUMBER(D392),C392-D392,"")</f>
        <v/>
      </c>
    </row>
    <row r="393">
      <c r="A393" s="10">
        <f>IF(Data!A375="","",Data!A375)</f>
        <v/>
      </c>
      <c r="B393" s="10">
        <f>IF(Data!B375="","",Data!B375)</f>
        <v/>
      </c>
      <c r="C393" s="10">
        <f>IF(Data!C375="","",Data!C375)</f>
        <v/>
      </c>
      <c r="D393" s="11">
        <f>IF(AND(ISNUMBER(B393),ISNUMBER(C393),ISNUMBER($B$7),ISNUMBER($B$8)),$B$8+$B$7*B393,"")</f>
        <v/>
      </c>
      <c r="E393" s="11">
        <f>IF(ISNUMBER(D393),C393-D393,"")</f>
        <v/>
      </c>
    </row>
    <row r="394">
      <c r="A394" s="10">
        <f>IF(Data!A376="","",Data!A376)</f>
        <v/>
      </c>
      <c r="B394" s="10">
        <f>IF(Data!B376="","",Data!B376)</f>
        <v/>
      </c>
      <c r="C394" s="10">
        <f>IF(Data!C376="","",Data!C376)</f>
        <v/>
      </c>
      <c r="D394" s="11">
        <f>IF(AND(ISNUMBER(B394),ISNUMBER(C394),ISNUMBER($B$7),ISNUMBER($B$8)),$B$8+$B$7*B394,"")</f>
        <v/>
      </c>
      <c r="E394" s="11">
        <f>IF(ISNUMBER(D394),C394-D394,"")</f>
        <v/>
      </c>
    </row>
    <row r="395">
      <c r="A395" s="10">
        <f>IF(Data!A377="","",Data!A377)</f>
        <v/>
      </c>
      <c r="B395" s="10">
        <f>IF(Data!B377="","",Data!B377)</f>
        <v/>
      </c>
      <c r="C395" s="10">
        <f>IF(Data!C377="","",Data!C377)</f>
        <v/>
      </c>
      <c r="D395" s="11">
        <f>IF(AND(ISNUMBER(B395),ISNUMBER(C395),ISNUMBER($B$7),ISNUMBER($B$8)),$B$8+$B$7*B395,"")</f>
        <v/>
      </c>
      <c r="E395" s="11">
        <f>IF(ISNUMBER(D395),C395-D395,"")</f>
        <v/>
      </c>
    </row>
    <row r="396">
      <c r="A396" s="10">
        <f>IF(Data!A378="","",Data!A378)</f>
        <v/>
      </c>
      <c r="B396" s="10">
        <f>IF(Data!B378="","",Data!B378)</f>
        <v/>
      </c>
      <c r="C396" s="10">
        <f>IF(Data!C378="","",Data!C378)</f>
        <v/>
      </c>
      <c r="D396" s="11">
        <f>IF(AND(ISNUMBER(B396),ISNUMBER(C396),ISNUMBER($B$7),ISNUMBER($B$8)),$B$8+$B$7*B396,"")</f>
        <v/>
      </c>
      <c r="E396" s="11">
        <f>IF(ISNUMBER(D396),C396-D396,"")</f>
        <v/>
      </c>
    </row>
    <row r="397">
      <c r="A397" s="10">
        <f>IF(Data!A379="","",Data!A379)</f>
        <v/>
      </c>
      <c r="B397" s="10">
        <f>IF(Data!B379="","",Data!B379)</f>
        <v/>
      </c>
      <c r="C397" s="10">
        <f>IF(Data!C379="","",Data!C379)</f>
        <v/>
      </c>
      <c r="D397" s="11">
        <f>IF(AND(ISNUMBER(B397),ISNUMBER(C397),ISNUMBER($B$7),ISNUMBER($B$8)),$B$8+$B$7*B397,"")</f>
        <v/>
      </c>
      <c r="E397" s="11">
        <f>IF(ISNUMBER(D397),C397-D397,"")</f>
        <v/>
      </c>
    </row>
    <row r="398">
      <c r="A398" s="10">
        <f>IF(Data!A380="","",Data!A380)</f>
        <v/>
      </c>
      <c r="B398" s="10">
        <f>IF(Data!B380="","",Data!B380)</f>
        <v/>
      </c>
      <c r="C398" s="10">
        <f>IF(Data!C380="","",Data!C380)</f>
        <v/>
      </c>
      <c r="D398" s="11">
        <f>IF(AND(ISNUMBER(B398),ISNUMBER(C398),ISNUMBER($B$7),ISNUMBER($B$8)),$B$8+$B$7*B398,"")</f>
        <v/>
      </c>
      <c r="E398" s="11">
        <f>IF(ISNUMBER(D398),C398-D398,"")</f>
        <v/>
      </c>
    </row>
    <row r="399">
      <c r="A399" s="10">
        <f>IF(Data!A381="","",Data!A381)</f>
        <v/>
      </c>
      <c r="B399" s="10">
        <f>IF(Data!B381="","",Data!B381)</f>
        <v/>
      </c>
      <c r="C399" s="10">
        <f>IF(Data!C381="","",Data!C381)</f>
        <v/>
      </c>
      <c r="D399" s="11">
        <f>IF(AND(ISNUMBER(B399),ISNUMBER(C399),ISNUMBER($B$7),ISNUMBER($B$8)),$B$8+$B$7*B399,"")</f>
        <v/>
      </c>
      <c r="E399" s="11">
        <f>IF(ISNUMBER(D399),C399-D399,"")</f>
        <v/>
      </c>
    </row>
    <row r="400">
      <c r="A400" s="10">
        <f>IF(Data!A382="","",Data!A382)</f>
        <v/>
      </c>
      <c r="B400" s="10">
        <f>IF(Data!B382="","",Data!B382)</f>
        <v/>
      </c>
      <c r="C400" s="10">
        <f>IF(Data!C382="","",Data!C382)</f>
        <v/>
      </c>
      <c r="D400" s="11">
        <f>IF(AND(ISNUMBER(B400),ISNUMBER(C400),ISNUMBER($B$7),ISNUMBER($B$8)),$B$8+$B$7*B400,"")</f>
        <v/>
      </c>
      <c r="E400" s="11">
        <f>IF(ISNUMBER(D400),C400-D400,"")</f>
        <v/>
      </c>
    </row>
    <row r="401">
      <c r="A401" s="10">
        <f>IF(Data!A383="","",Data!A383)</f>
        <v/>
      </c>
      <c r="B401" s="10">
        <f>IF(Data!B383="","",Data!B383)</f>
        <v/>
      </c>
      <c r="C401" s="10">
        <f>IF(Data!C383="","",Data!C383)</f>
        <v/>
      </c>
      <c r="D401" s="11">
        <f>IF(AND(ISNUMBER(B401),ISNUMBER(C401),ISNUMBER($B$7),ISNUMBER($B$8)),$B$8+$B$7*B401,"")</f>
        <v/>
      </c>
      <c r="E401" s="11">
        <f>IF(ISNUMBER(D401),C401-D401,"")</f>
        <v/>
      </c>
    </row>
    <row r="402">
      <c r="A402" s="10">
        <f>IF(Data!A384="","",Data!A384)</f>
        <v/>
      </c>
      <c r="B402" s="10">
        <f>IF(Data!B384="","",Data!B384)</f>
        <v/>
      </c>
      <c r="C402" s="10">
        <f>IF(Data!C384="","",Data!C384)</f>
        <v/>
      </c>
      <c r="D402" s="11">
        <f>IF(AND(ISNUMBER(B402),ISNUMBER(C402),ISNUMBER($B$7),ISNUMBER($B$8)),$B$8+$B$7*B402,"")</f>
        <v/>
      </c>
      <c r="E402" s="11">
        <f>IF(ISNUMBER(D402),C402-D402,"")</f>
        <v/>
      </c>
    </row>
    <row r="403">
      <c r="A403" s="10">
        <f>IF(Data!A385="","",Data!A385)</f>
        <v/>
      </c>
      <c r="B403" s="10">
        <f>IF(Data!B385="","",Data!B385)</f>
        <v/>
      </c>
      <c r="C403" s="10">
        <f>IF(Data!C385="","",Data!C385)</f>
        <v/>
      </c>
      <c r="D403" s="11">
        <f>IF(AND(ISNUMBER(B403),ISNUMBER(C403),ISNUMBER($B$7),ISNUMBER($B$8)),$B$8+$B$7*B403,"")</f>
        <v/>
      </c>
      <c r="E403" s="11">
        <f>IF(ISNUMBER(D403),C403-D403,"")</f>
        <v/>
      </c>
    </row>
    <row r="404">
      <c r="A404" s="10">
        <f>IF(Data!A386="","",Data!A386)</f>
        <v/>
      </c>
      <c r="B404" s="10">
        <f>IF(Data!B386="","",Data!B386)</f>
        <v/>
      </c>
      <c r="C404" s="10">
        <f>IF(Data!C386="","",Data!C386)</f>
        <v/>
      </c>
      <c r="D404" s="11">
        <f>IF(AND(ISNUMBER(B404),ISNUMBER(C404),ISNUMBER($B$7),ISNUMBER($B$8)),$B$8+$B$7*B404,"")</f>
        <v/>
      </c>
      <c r="E404" s="11">
        <f>IF(ISNUMBER(D404),C404-D404,"")</f>
        <v/>
      </c>
    </row>
    <row r="405">
      <c r="A405" s="10">
        <f>IF(Data!A387="","",Data!A387)</f>
        <v/>
      </c>
      <c r="B405" s="10">
        <f>IF(Data!B387="","",Data!B387)</f>
        <v/>
      </c>
      <c r="C405" s="10">
        <f>IF(Data!C387="","",Data!C387)</f>
        <v/>
      </c>
      <c r="D405" s="11">
        <f>IF(AND(ISNUMBER(B405),ISNUMBER(C405),ISNUMBER($B$7),ISNUMBER($B$8)),$B$8+$B$7*B405,"")</f>
        <v/>
      </c>
      <c r="E405" s="11">
        <f>IF(ISNUMBER(D405),C405-D405,"")</f>
        <v/>
      </c>
    </row>
    <row r="406">
      <c r="A406" s="10">
        <f>IF(Data!A388="","",Data!A388)</f>
        <v/>
      </c>
      <c r="B406" s="10">
        <f>IF(Data!B388="","",Data!B388)</f>
        <v/>
      </c>
      <c r="C406" s="10">
        <f>IF(Data!C388="","",Data!C388)</f>
        <v/>
      </c>
      <c r="D406" s="11">
        <f>IF(AND(ISNUMBER(B406),ISNUMBER(C406),ISNUMBER($B$7),ISNUMBER($B$8)),$B$8+$B$7*B406,"")</f>
        <v/>
      </c>
      <c r="E406" s="11">
        <f>IF(ISNUMBER(D406),C406-D406,"")</f>
        <v/>
      </c>
    </row>
    <row r="407">
      <c r="A407" s="10">
        <f>IF(Data!A389="","",Data!A389)</f>
        <v/>
      </c>
      <c r="B407" s="10">
        <f>IF(Data!B389="","",Data!B389)</f>
        <v/>
      </c>
      <c r="C407" s="10">
        <f>IF(Data!C389="","",Data!C389)</f>
        <v/>
      </c>
      <c r="D407" s="11">
        <f>IF(AND(ISNUMBER(B407),ISNUMBER(C407),ISNUMBER($B$7),ISNUMBER($B$8)),$B$8+$B$7*B407,"")</f>
        <v/>
      </c>
      <c r="E407" s="11">
        <f>IF(ISNUMBER(D407),C407-D407,"")</f>
        <v/>
      </c>
    </row>
    <row r="408">
      <c r="A408" s="10">
        <f>IF(Data!A390="","",Data!A390)</f>
        <v/>
      </c>
      <c r="B408" s="10">
        <f>IF(Data!B390="","",Data!B390)</f>
        <v/>
      </c>
      <c r="C408" s="10">
        <f>IF(Data!C390="","",Data!C390)</f>
        <v/>
      </c>
      <c r="D408" s="11">
        <f>IF(AND(ISNUMBER(B408),ISNUMBER(C408),ISNUMBER($B$7),ISNUMBER($B$8)),$B$8+$B$7*B408,"")</f>
        <v/>
      </c>
      <c r="E408" s="11">
        <f>IF(ISNUMBER(D408),C408-D408,"")</f>
        <v/>
      </c>
    </row>
    <row r="409">
      <c r="A409" s="10">
        <f>IF(Data!A391="","",Data!A391)</f>
        <v/>
      </c>
      <c r="B409" s="10">
        <f>IF(Data!B391="","",Data!B391)</f>
        <v/>
      </c>
      <c r="C409" s="10">
        <f>IF(Data!C391="","",Data!C391)</f>
        <v/>
      </c>
      <c r="D409" s="11">
        <f>IF(AND(ISNUMBER(B409),ISNUMBER(C409),ISNUMBER($B$7),ISNUMBER($B$8)),$B$8+$B$7*B409,"")</f>
        <v/>
      </c>
      <c r="E409" s="11">
        <f>IF(ISNUMBER(D409),C409-D409,"")</f>
        <v/>
      </c>
    </row>
    <row r="410">
      <c r="A410" s="10">
        <f>IF(Data!A392="","",Data!A392)</f>
        <v/>
      </c>
      <c r="B410" s="10">
        <f>IF(Data!B392="","",Data!B392)</f>
        <v/>
      </c>
      <c r="C410" s="10">
        <f>IF(Data!C392="","",Data!C392)</f>
        <v/>
      </c>
      <c r="D410" s="11">
        <f>IF(AND(ISNUMBER(B410),ISNUMBER(C410),ISNUMBER($B$7),ISNUMBER($B$8)),$B$8+$B$7*B410,"")</f>
        <v/>
      </c>
      <c r="E410" s="11">
        <f>IF(ISNUMBER(D410),C410-D410,"")</f>
        <v/>
      </c>
    </row>
    <row r="411">
      <c r="A411" s="10">
        <f>IF(Data!A393="","",Data!A393)</f>
        <v/>
      </c>
      <c r="B411" s="10">
        <f>IF(Data!B393="","",Data!B393)</f>
        <v/>
      </c>
      <c r="C411" s="10">
        <f>IF(Data!C393="","",Data!C393)</f>
        <v/>
      </c>
      <c r="D411" s="11">
        <f>IF(AND(ISNUMBER(B411),ISNUMBER(C411),ISNUMBER($B$7),ISNUMBER($B$8)),$B$8+$B$7*B411,"")</f>
        <v/>
      </c>
      <c r="E411" s="11">
        <f>IF(ISNUMBER(D411),C411-D411,"")</f>
        <v/>
      </c>
    </row>
    <row r="412">
      <c r="A412" s="10">
        <f>IF(Data!A394="","",Data!A394)</f>
        <v/>
      </c>
      <c r="B412" s="10">
        <f>IF(Data!B394="","",Data!B394)</f>
        <v/>
      </c>
      <c r="C412" s="10">
        <f>IF(Data!C394="","",Data!C394)</f>
        <v/>
      </c>
      <c r="D412" s="11">
        <f>IF(AND(ISNUMBER(B412),ISNUMBER(C412),ISNUMBER($B$7),ISNUMBER($B$8)),$B$8+$B$7*B412,"")</f>
        <v/>
      </c>
      <c r="E412" s="11">
        <f>IF(ISNUMBER(D412),C412-D412,"")</f>
        <v/>
      </c>
    </row>
    <row r="413">
      <c r="A413" s="10">
        <f>IF(Data!A395="","",Data!A395)</f>
        <v/>
      </c>
      <c r="B413" s="10">
        <f>IF(Data!B395="","",Data!B395)</f>
        <v/>
      </c>
      <c r="C413" s="10">
        <f>IF(Data!C395="","",Data!C395)</f>
        <v/>
      </c>
      <c r="D413" s="11">
        <f>IF(AND(ISNUMBER(B413),ISNUMBER(C413),ISNUMBER($B$7),ISNUMBER($B$8)),$B$8+$B$7*B413,"")</f>
        <v/>
      </c>
      <c r="E413" s="11">
        <f>IF(ISNUMBER(D413),C413-D413,"")</f>
        <v/>
      </c>
    </row>
    <row r="414">
      <c r="A414" s="10">
        <f>IF(Data!A396="","",Data!A396)</f>
        <v/>
      </c>
      <c r="B414" s="10">
        <f>IF(Data!B396="","",Data!B396)</f>
        <v/>
      </c>
      <c r="C414" s="10">
        <f>IF(Data!C396="","",Data!C396)</f>
        <v/>
      </c>
      <c r="D414" s="11">
        <f>IF(AND(ISNUMBER(B414),ISNUMBER(C414),ISNUMBER($B$7),ISNUMBER($B$8)),$B$8+$B$7*B414,"")</f>
        <v/>
      </c>
      <c r="E414" s="11">
        <f>IF(ISNUMBER(D414),C414-D414,"")</f>
        <v/>
      </c>
    </row>
    <row r="415">
      <c r="A415" s="10">
        <f>IF(Data!A397="","",Data!A397)</f>
        <v/>
      </c>
      <c r="B415" s="10">
        <f>IF(Data!B397="","",Data!B397)</f>
        <v/>
      </c>
      <c r="C415" s="10">
        <f>IF(Data!C397="","",Data!C397)</f>
        <v/>
      </c>
      <c r="D415" s="11">
        <f>IF(AND(ISNUMBER(B415),ISNUMBER(C415),ISNUMBER($B$7),ISNUMBER($B$8)),$B$8+$B$7*B415,"")</f>
        <v/>
      </c>
      <c r="E415" s="11">
        <f>IF(ISNUMBER(D415),C415-D415,"")</f>
        <v/>
      </c>
    </row>
    <row r="416">
      <c r="A416" s="10">
        <f>IF(Data!A398="","",Data!A398)</f>
        <v/>
      </c>
      <c r="B416" s="10">
        <f>IF(Data!B398="","",Data!B398)</f>
        <v/>
      </c>
      <c r="C416" s="10">
        <f>IF(Data!C398="","",Data!C398)</f>
        <v/>
      </c>
      <c r="D416" s="11">
        <f>IF(AND(ISNUMBER(B416),ISNUMBER(C416),ISNUMBER($B$7),ISNUMBER($B$8)),$B$8+$B$7*B416,"")</f>
        <v/>
      </c>
      <c r="E416" s="11">
        <f>IF(ISNUMBER(D416),C416-D416,"")</f>
        <v/>
      </c>
    </row>
    <row r="417">
      <c r="A417" s="10">
        <f>IF(Data!A399="","",Data!A399)</f>
        <v/>
      </c>
      <c r="B417" s="10">
        <f>IF(Data!B399="","",Data!B399)</f>
        <v/>
      </c>
      <c r="C417" s="10">
        <f>IF(Data!C399="","",Data!C399)</f>
        <v/>
      </c>
      <c r="D417" s="11">
        <f>IF(AND(ISNUMBER(B417),ISNUMBER(C417),ISNUMBER($B$7),ISNUMBER($B$8)),$B$8+$B$7*B417,"")</f>
        <v/>
      </c>
      <c r="E417" s="11">
        <f>IF(ISNUMBER(D417),C417-D417,"")</f>
        <v/>
      </c>
    </row>
    <row r="418">
      <c r="A418" s="10">
        <f>IF(Data!A400="","",Data!A400)</f>
        <v/>
      </c>
      <c r="B418" s="10">
        <f>IF(Data!B400="","",Data!B400)</f>
        <v/>
      </c>
      <c r="C418" s="10">
        <f>IF(Data!C400="","",Data!C400)</f>
        <v/>
      </c>
      <c r="D418" s="11">
        <f>IF(AND(ISNUMBER(B418),ISNUMBER(C418),ISNUMBER($B$7),ISNUMBER($B$8)),$B$8+$B$7*B418,"")</f>
        <v/>
      </c>
      <c r="E418" s="11">
        <f>IF(ISNUMBER(D418),C418-D418,"")</f>
        <v/>
      </c>
    </row>
    <row r="419">
      <c r="A419" s="10">
        <f>IF(Data!A401="","",Data!A401)</f>
        <v/>
      </c>
      <c r="B419" s="10">
        <f>IF(Data!B401="","",Data!B401)</f>
        <v/>
      </c>
      <c r="C419" s="10">
        <f>IF(Data!C401="","",Data!C401)</f>
        <v/>
      </c>
      <c r="D419" s="11">
        <f>IF(AND(ISNUMBER(B419),ISNUMBER(C419),ISNUMBER($B$7),ISNUMBER($B$8)),$B$8+$B$7*B419,"")</f>
        <v/>
      </c>
      <c r="E419" s="11">
        <f>IF(ISNUMBER(D419),C419-D419,"")</f>
        <v/>
      </c>
    </row>
    <row r="420">
      <c r="A420" s="10">
        <f>IF(Data!A402="","",Data!A402)</f>
        <v/>
      </c>
      <c r="B420" s="10">
        <f>IF(Data!B402="","",Data!B402)</f>
        <v/>
      </c>
      <c r="C420" s="10">
        <f>IF(Data!C402="","",Data!C402)</f>
        <v/>
      </c>
      <c r="D420" s="11">
        <f>IF(AND(ISNUMBER(B420),ISNUMBER(C420),ISNUMBER($B$7),ISNUMBER($B$8)),$B$8+$B$7*B420,"")</f>
        <v/>
      </c>
      <c r="E420" s="11">
        <f>IF(ISNUMBER(D420),C420-D420,"")</f>
        <v/>
      </c>
    </row>
    <row r="421">
      <c r="A421" s="10">
        <f>IF(Data!A403="","",Data!A403)</f>
        <v/>
      </c>
      <c r="B421" s="10">
        <f>IF(Data!B403="","",Data!B403)</f>
        <v/>
      </c>
      <c r="C421" s="10">
        <f>IF(Data!C403="","",Data!C403)</f>
        <v/>
      </c>
      <c r="D421" s="11">
        <f>IF(AND(ISNUMBER(B421),ISNUMBER(C421),ISNUMBER($B$7),ISNUMBER($B$8)),$B$8+$B$7*B421,"")</f>
        <v/>
      </c>
      <c r="E421" s="11">
        <f>IF(ISNUMBER(D421),C421-D421,"")</f>
        <v/>
      </c>
    </row>
    <row r="422">
      <c r="A422" s="10">
        <f>IF(Data!A404="","",Data!A404)</f>
        <v/>
      </c>
      <c r="B422" s="10">
        <f>IF(Data!B404="","",Data!B404)</f>
        <v/>
      </c>
      <c r="C422" s="10">
        <f>IF(Data!C404="","",Data!C404)</f>
        <v/>
      </c>
      <c r="D422" s="11">
        <f>IF(AND(ISNUMBER(B422),ISNUMBER(C422),ISNUMBER($B$7),ISNUMBER($B$8)),$B$8+$B$7*B422,"")</f>
        <v/>
      </c>
      <c r="E422" s="11">
        <f>IF(ISNUMBER(D422),C422-D422,"")</f>
        <v/>
      </c>
    </row>
    <row r="423">
      <c r="A423" s="10">
        <f>IF(Data!A405="","",Data!A405)</f>
        <v/>
      </c>
      <c r="B423" s="10">
        <f>IF(Data!B405="","",Data!B405)</f>
        <v/>
      </c>
      <c r="C423" s="10">
        <f>IF(Data!C405="","",Data!C405)</f>
        <v/>
      </c>
      <c r="D423" s="11">
        <f>IF(AND(ISNUMBER(B423),ISNUMBER(C423),ISNUMBER($B$7),ISNUMBER($B$8)),$B$8+$B$7*B423,"")</f>
        <v/>
      </c>
      <c r="E423" s="11">
        <f>IF(ISNUMBER(D423),C423-D423,"")</f>
        <v/>
      </c>
    </row>
    <row r="424">
      <c r="A424" s="10">
        <f>IF(Data!A406="","",Data!A406)</f>
        <v/>
      </c>
      <c r="B424" s="10">
        <f>IF(Data!B406="","",Data!B406)</f>
        <v/>
      </c>
      <c r="C424" s="10">
        <f>IF(Data!C406="","",Data!C406)</f>
        <v/>
      </c>
      <c r="D424" s="11">
        <f>IF(AND(ISNUMBER(B424),ISNUMBER(C424),ISNUMBER($B$7),ISNUMBER($B$8)),$B$8+$B$7*B424,"")</f>
        <v/>
      </c>
      <c r="E424" s="11">
        <f>IF(ISNUMBER(D424),C424-D424,"")</f>
        <v/>
      </c>
    </row>
    <row r="425">
      <c r="A425" s="10">
        <f>IF(Data!A407="","",Data!A407)</f>
        <v/>
      </c>
      <c r="B425" s="10">
        <f>IF(Data!B407="","",Data!B407)</f>
        <v/>
      </c>
      <c r="C425" s="10">
        <f>IF(Data!C407="","",Data!C407)</f>
        <v/>
      </c>
      <c r="D425" s="11">
        <f>IF(AND(ISNUMBER(B425),ISNUMBER(C425),ISNUMBER($B$7),ISNUMBER($B$8)),$B$8+$B$7*B425,"")</f>
        <v/>
      </c>
      <c r="E425" s="11">
        <f>IF(ISNUMBER(D425),C425-D425,"")</f>
        <v/>
      </c>
    </row>
    <row r="426">
      <c r="A426" s="10">
        <f>IF(Data!A408="","",Data!A408)</f>
        <v/>
      </c>
      <c r="B426" s="10">
        <f>IF(Data!B408="","",Data!B408)</f>
        <v/>
      </c>
      <c r="C426" s="10">
        <f>IF(Data!C408="","",Data!C408)</f>
        <v/>
      </c>
      <c r="D426" s="11">
        <f>IF(AND(ISNUMBER(B426),ISNUMBER(C426),ISNUMBER($B$7),ISNUMBER($B$8)),$B$8+$B$7*B426,"")</f>
        <v/>
      </c>
      <c r="E426" s="11">
        <f>IF(ISNUMBER(D426),C426-D426,"")</f>
        <v/>
      </c>
    </row>
    <row r="427">
      <c r="A427" s="10">
        <f>IF(Data!A409="","",Data!A409)</f>
        <v/>
      </c>
      <c r="B427" s="10">
        <f>IF(Data!B409="","",Data!B409)</f>
        <v/>
      </c>
      <c r="C427" s="10">
        <f>IF(Data!C409="","",Data!C409)</f>
        <v/>
      </c>
      <c r="D427" s="11">
        <f>IF(AND(ISNUMBER(B427),ISNUMBER(C427),ISNUMBER($B$7),ISNUMBER($B$8)),$B$8+$B$7*B427,"")</f>
        <v/>
      </c>
      <c r="E427" s="11">
        <f>IF(ISNUMBER(D427),C427-D427,"")</f>
        <v/>
      </c>
    </row>
    <row r="428">
      <c r="A428" s="10">
        <f>IF(Data!A410="","",Data!A410)</f>
        <v/>
      </c>
      <c r="B428" s="10">
        <f>IF(Data!B410="","",Data!B410)</f>
        <v/>
      </c>
      <c r="C428" s="10">
        <f>IF(Data!C410="","",Data!C410)</f>
        <v/>
      </c>
      <c r="D428" s="11">
        <f>IF(AND(ISNUMBER(B428),ISNUMBER(C428),ISNUMBER($B$7),ISNUMBER($B$8)),$B$8+$B$7*B428,"")</f>
        <v/>
      </c>
      <c r="E428" s="11">
        <f>IF(ISNUMBER(D428),C428-D428,"")</f>
        <v/>
      </c>
    </row>
    <row r="429">
      <c r="A429" s="10">
        <f>IF(Data!A411="","",Data!A411)</f>
        <v/>
      </c>
      <c r="B429" s="10">
        <f>IF(Data!B411="","",Data!B411)</f>
        <v/>
      </c>
      <c r="C429" s="10">
        <f>IF(Data!C411="","",Data!C411)</f>
        <v/>
      </c>
      <c r="D429" s="11">
        <f>IF(AND(ISNUMBER(B429),ISNUMBER(C429),ISNUMBER($B$7),ISNUMBER($B$8)),$B$8+$B$7*B429,"")</f>
        <v/>
      </c>
      <c r="E429" s="11">
        <f>IF(ISNUMBER(D429),C429-D429,"")</f>
        <v/>
      </c>
    </row>
    <row r="430">
      <c r="A430" s="10">
        <f>IF(Data!A412="","",Data!A412)</f>
        <v/>
      </c>
      <c r="B430" s="10">
        <f>IF(Data!B412="","",Data!B412)</f>
        <v/>
      </c>
      <c r="C430" s="10">
        <f>IF(Data!C412="","",Data!C412)</f>
        <v/>
      </c>
      <c r="D430" s="11">
        <f>IF(AND(ISNUMBER(B430),ISNUMBER(C430),ISNUMBER($B$7),ISNUMBER($B$8)),$B$8+$B$7*B430,"")</f>
        <v/>
      </c>
      <c r="E430" s="11">
        <f>IF(ISNUMBER(D430),C430-D430,"")</f>
        <v/>
      </c>
    </row>
    <row r="431">
      <c r="A431" s="10">
        <f>IF(Data!A413="","",Data!A413)</f>
        <v/>
      </c>
      <c r="B431" s="10">
        <f>IF(Data!B413="","",Data!B413)</f>
        <v/>
      </c>
      <c r="C431" s="10">
        <f>IF(Data!C413="","",Data!C413)</f>
        <v/>
      </c>
      <c r="D431" s="11">
        <f>IF(AND(ISNUMBER(B431),ISNUMBER(C431),ISNUMBER($B$7),ISNUMBER($B$8)),$B$8+$B$7*B431,"")</f>
        <v/>
      </c>
      <c r="E431" s="11">
        <f>IF(ISNUMBER(D431),C431-D431,"")</f>
        <v/>
      </c>
    </row>
    <row r="432">
      <c r="A432" s="10">
        <f>IF(Data!A414="","",Data!A414)</f>
        <v/>
      </c>
      <c r="B432" s="10">
        <f>IF(Data!B414="","",Data!B414)</f>
        <v/>
      </c>
      <c r="C432" s="10">
        <f>IF(Data!C414="","",Data!C414)</f>
        <v/>
      </c>
      <c r="D432" s="11">
        <f>IF(AND(ISNUMBER(B432),ISNUMBER(C432),ISNUMBER($B$7),ISNUMBER($B$8)),$B$8+$B$7*B432,"")</f>
        <v/>
      </c>
      <c r="E432" s="11">
        <f>IF(ISNUMBER(D432),C432-D432,"")</f>
        <v/>
      </c>
    </row>
    <row r="433">
      <c r="A433" s="10">
        <f>IF(Data!A415="","",Data!A415)</f>
        <v/>
      </c>
      <c r="B433" s="10">
        <f>IF(Data!B415="","",Data!B415)</f>
        <v/>
      </c>
      <c r="C433" s="10">
        <f>IF(Data!C415="","",Data!C415)</f>
        <v/>
      </c>
      <c r="D433" s="11">
        <f>IF(AND(ISNUMBER(B433),ISNUMBER(C433),ISNUMBER($B$7),ISNUMBER($B$8)),$B$8+$B$7*B433,"")</f>
        <v/>
      </c>
      <c r="E433" s="11">
        <f>IF(ISNUMBER(D433),C433-D433,"")</f>
        <v/>
      </c>
    </row>
    <row r="434">
      <c r="A434" s="10">
        <f>IF(Data!A416="","",Data!A416)</f>
        <v/>
      </c>
      <c r="B434" s="10">
        <f>IF(Data!B416="","",Data!B416)</f>
        <v/>
      </c>
      <c r="C434" s="10">
        <f>IF(Data!C416="","",Data!C416)</f>
        <v/>
      </c>
      <c r="D434" s="11">
        <f>IF(AND(ISNUMBER(B434),ISNUMBER(C434),ISNUMBER($B$7),ISNUMBER($B$8)),$B$8+$B$7*B434,"")</f>
        <v/>
      </c>
      <c r="E434" s="11">
        <f>IF(ISNUMBER(D434),C434-D434,"")</f>
        <v/>
      </c>
    </row>
    <row r="435">
      <c r="A435" s="10">
        <f>IF(Data!A417="","",Data!A417)</f>
        <v/>
      </c>
      <c r="B435" s="10">
        <f>IF(Data!B417="","",Data!B417)</f>
        <v/>
      </c>
      <c r="C435" s="10">
        <f>IF(Data!C417="","",Data!C417)</f>
        <v/>
      </c>
      <c r="D435" s="11">
        <f>IF(AND(ISNUMBER(B435),ISNUMBER(C435),ISNUMBER($B$7),ISNUMBER($B$8)),$B$8+$B$7*B435,"")</f>
        <v/>
      </c>
      <c r="E435" s="11">
        <f>IF(ISNUMBER(D435),C435-D435,"")</f>
        <v/>
      </c>
    </row>
    <row r="436">
      <c r="A436" s="10">
        <f>IF(Data!A418="","",Data!A418)</f>
        <v/>
      </c>
      <c r="B436" s="10">
        <f>IF(Data!B418="","",Data!B418)</f>
        <v/>
      </c>
      <c r="C436" s="10">
        <f>IF(Data!C418="","",Data!C418)</f>
        <v/>
      </c>
      <c r="D436" s="11">
        <f>IF(AND(ISNUMBER(B436),ISNUMBER(C436),ISNUMBER($B$7),ISNUMBER($B$8)),$B$8+$B$7*B436,"")</f>
        <v/>
      </c>
      <c r="E436" s="11">
        <f>IF(ISNUMBER(D436),C436-D436,"")</f>
        <v/>
      </c>
    </row>
    <row r="437">
      <c r="A437" s="10">
        <f>IF(Data!A419="","",Data!A419)</f>
        <v/>
      </c>
      <c r="B437" s="10">
        <f>IF(Data!B419="","",Data!B419)</f>
        <v/>
      </c>
      <c r="C437" s="10">
        <f>IF(Data!C419="","",Data!C419)</f>
        <v/>
      </c>
      <c r="D437" s="11">
        <f>IF(AND(ISNUMBER(B437),ISNUMBER(C437),ISNUMBER($B$7),ISNUMBER($B$8)),$B$8+$B$7*B437,"")</f>
        <v/>
      </c>
      <c r="E437" s="11">
        <f>IF(ISNUMBER(D437),C437-D437,"")</f>
        <v/>
      </c>
    </row>
    <row r="438">
      <c r="A438" s="10">
        <f>IF(Data!A420="","",Data!A420)</f>
        <v/>
      </c>
      <c r="B438" s="10">
        <f>IF(Data!B420="","",Data!B420)</f>
        <v/>
      </c>
      <c r="C438" s="10">
        <f>IF(Data!C420="","",Data!C420)</f>
        <v/>
      </c>
      <c r="D438" s="11">
        <f>IF(AND(ISNUMBER(B438),ISNUMBER(C438),ISNUMBER($B$7),ISNUMBER($B$8)),$B$8+$B$7*B438,"")</f>
        <v/>
      </c>
      <c r="E438" s="11">
        <f>IF(ISNUMBER(D438),C438-D438,"")</f>
        <v/>
      </c>
    </row>
    <row r="439">
      <c r="A439" s="10">
        <f>IF(Data!A421="","",Data!A421)</f>
        <v/>
      </c>
      <c r="B439" s="10">
        <f>IF(Data!B421="","",Data!B421)</f>
        <v/>
      </c>
      <c r="C439" s="10">
        <f>IF(Data!C421="","",Data!C421)</f>
        <v/>
      </c>
      <c r="D439" s="11">
        <f>IF(AND(ISNUMBER(B439),ISNUMBER(C439),ISNUMBER($B$7),ISNUMBER($B$8)),$B$8+$B$7*B439,"")</f>
        <v/>
      </c>
      <c r="E439" s="11">
        <f>IF(ISNUMBER(D439),C439-D439,"")</f>
        <v/>
      </c>
    </row>
    <row r="440">
      <c r="A440" s="10">
        <f>IF(Data!A422="","",Data!A422)</f>
        <v/>
      </c>
      <c r="B440" s="10">
        <f>IF(Data!B422="","",Data!B422)</f>
        <v/>
      </c>
      <c r="C440" s="10">
        <f>IF(Data!C422="","",Data!C422)</f>
        <v/>
      </c>
      <c r="D440" s="11">
        <f>IF(AND(ISNUMBER(B440),ISNUMBER(C440),ISNUMBER($B$7),ISNUMBER($B$8)),$B$8+$B$7*B440,"")</f>
        <v/>
      </c>
      <c r="E440" s="11">
        <f>IF(ISNUMBER(D440),C440-D440,"")</f>
        <v/>
      </c>
    </row>
    <row r="441">
      <c r="A441" s="10">
        <f>IF(Data!A423="","",Data!A423)</f>
        <v/>
      </c>
      <c r="B441" s="10">
        <f>IF(Data!B423="","",Data!B423)</f>
        <v/>
      </c>
      <c r="C441" s="10">
        <f>IF(Data!C423="","",Data!C423)</f>
        <v/>
      </c>
      <c r="D441" s="11">
        <f>IF(AND(ISNUMBER(B441),ISNUMBER(C441),ISNUMBER($B$7),ISNUMBER($B$8)),$B$8+$B$7*B441,"")</f>
        <v/>
      </c>
      <c r="E441" s="11">
        <f>IF(ISNUMBER(D441),C441-D441,"")</f>
        <v/>
      </c>
    </row>
    <row r="442">
      <c r="A442" s="10">
        <f>IF(Data!A424="","",Data!A424)</f>
        <v/>
      </c>
      <c r="B442" s="10">
        <f>IF(Data!B424="","",Data!B424)</f>
        <v/>
      </c>
      <c r="C442" s="10">
        <f>IF(Data!C424="","",Data!C424)</f>
        <v/>
      </c>
      <c r="D442" s="11">
        <f>IF(AND(ISNUMBER(B442),ISNUMBER(C442),ISNUMBER($B$7),ISNUMBER($B$8)),$B$8+$B$7*B442,"")</f>
        <v/>
      </c>
      <c r="E442" s="11">
        <f>IF(ISNUMBER(D442),C442-D442,"")</f>
        <v/>
      </c>
    </row>
    <row r="443">
      <c r="A443" s="10">
        <f>IF(Data!A425="","",Data!A425)</f>
        <v/>
      </c>
      <c r="B443" s="10">
        <f>IF(Data!B425="","",Data!B425)</f>
        <v/>
      </c>
      <c r="C443" s="10">
        <f>IF(Data!C425="","",Data!C425)</f>
        <v/>
      </c>
      <c r="D443" s="11">
        <f>IF(AND(ISNUMBER(B443),ISNUMBER(C443),ISNUMBER($B$7),ISNUMBER($B$8)),$B$8+$B$7*B443,"")</f>
        <v/>
      </c>
      <c r="E443" s="11">
        <f>IF(ISNUMBER(D443),C443-D443,"")</f>
        <v/>
      </c>
    </row>
    <row r="444">
      <c r="A444" s="10">
        <f>IF(Data!A426="","",Data!A426)</f>
        <v/>
      </c>
      <c r="B444" s="10">
        <f>IF(Data!B426="","",Data!B426)</f>
        <v/>
      </c>
      <c r="C444" s="10">
        <f>IF(Data!C426="","",Data!C426)</f>
        <v/>
      </c>
      <c r="D444" s="11">
        <f>IF(AND(ISNUMBER(B444),ISNUMBER(C444),ISNUMBER($B$7),ISNUMBER($B$8)),$B$8+$B$7*B444,"")</f>
        <v/>
      </c>
      <c r="E444" s="11">
        <f>IF(ISNUMBER(D444),C444-D444,"")</f>
        <v/>
      </c>
    </row>
    <row r="445">
      <c r="A445" s="10">
        <f>IF(Data!A427="","",Data!A427)</f>
        <v/>
      </c>
      <c r="B445" s="10">
        <f>IF(Data!B427="","",Data!B427)</f>
        <v/>
      </c>
      <c r="C445" s="10">
        <f>IF(Data!C427="","",Data!C427)</f>
        <v/>
      </c>
      <c r="D445" s="11">
        <f>IF(AND(ISNUMBER(B445),ISNUMBER(C445),ISNUMBER($B$7),ISNUMBER($B$8)),$B$8+$B$7*B445,"")</f>
        <v/>
      </c>
      <c r="E445" s="11">
        <f>IF(ISNUMBER(D445),C445-D445,"")</f>
        <v/>
      </c>
    </row>
    <row r="446">
      <c r="A446" s="10">
        <f>IF(Data!A428="","",Data!A428)</f>
        <v/>
      </c>
      <c r="B446" s="10">
        <f>IF(Data!B428="","",Data!B428)</f>
        <v/>
      </c>
      <c r="C446" s="10">
        <f>IF(Data!C428="","",Data!C428)</f>
        <v/>
      </c>
      <c r="D446" s="11">
        <f>IF(AND(ISNUMBER(B446),ISNUMBER(C446),ISNUMBER($B$7),ISNUMBER($B$8)),$B$8+$B$7*B446,"")</f>
        <v/>
      </c>
      <c r="E446" s="11">
        <f>IF(ISNUMBER(D446),C446-D446,"")</f>
        <v/>
      </c>
    </row>
    <row r="447">
      <c r="A447" s="10">
        <f>IF(Data!A429="","",Data!A429)</f>
        <v/>
      </c>
      <c r="B447" s="10">
        <f>IF(Data!B429="","",Data!B429)</f>
        <v/>
      </c>
      <c r="C447" s="10">
        <f>IF(Data!C429="","",Data!C429)</f>
        <v/>
      </c>
      <c r="D447" s="11">
        <f>IF(AND(ISNUMBER(B447),ISNUMBER(C447),ISNUMBER($B$7),ISNUMBER($B$8)),$B$8+$B$7*B447,"")</f>
        <v/>
      </c>
      <c r="E447" s="11">
        <f>IF(ISNUMBER(D447),C447-D447,"")</f>
        <v/>
      </c>
    </row>
    <row r="448">
      <c r="A448" s="10">
        <f>IF(Data!A430="","",Data!A430)</f>
        <v/>
      </c>
      <c r="B448" s="10">
        <f>IF(Data!B430="","",Data!B430)</f>
        <v/>
      </c>
      <c r="C448" s="10">
        <f>IF(Data!C430="","",Data!C430)</f>
        <v/>
      </c>
      <c r="D448" s="11">
        <f>IF(AND(ISNUMBER(B448),ISNUMBER(C448),ISNUMBER($B$7),ISNUMBER($B$8)),$B$8+$B$7*B448,"")</f>
        <v/>
      </c>
      <c r="E448" s="11">
        <f>IF(ISNUMBER(D448),C448-D448,"")</f>
        <v/>
      </c>
    </row>
    <row r="449">
      <c r="A449" s="10">
        <f>IF(Data!A431="","",Data!A431)</f>
        <v/>
      </c>
      <c r="B449" s="10">
        <f>IF(Data!B431="","",Data!B431)</f>
        <v/>
      </c>
      <c r="C449" s="10">
        <f>IF(Data!C431="","",Data!C431)</f>
        <v/>
      </c>
      <c r="D449" s="11">
        <f>IF(AND(ISNUMBER(B449),ISNUMBER(C449),ISNUMBER($B$7),ISNUMBER($B$8)),$B$8+$B$7*B449,"")</f>
        <v/>
      </c>
      <c r="E449" s="11">
        <f>IF(ISNUMBER(D449),C449-D449,"")</f>
        <v/>
      </c>
    </row>
    <row r="450">
      <c r="A450" s="10">
        <f>IF(Data!A432="","",Data!A432)</f>
        <v/>
      </c>
      <c r="B450" s="10">
        <f>IF(Data!B432="","",Data!B432)</f>
        <v/>
      </c>
      <c r="C450" s="10">
        <f>IF(Data!C432="","",Data!C432)</f>
        <v/>
      </c>
      <c r="D450" s="11">
        <f>IF(AND(ISNUMBER(B450),ISNUMBER(C450),ISNUMBER($B$7),ISNUMBER($B$8)),$B$8+$B$7*B450,"")</f>
        <v/>
      </c>
      <c r="E450" s="11">
        <f>IF(ISNUMBER(D450),C450-D450,"")</f>
        <v/>
      </c>
    </row>
    <row r="451">
      <c r="A451" s="10">
        <f>IF(Data!A433="","",Data!A433)</f>
        <v/>
      </c>
      <c r="B451" s="10">
        <f>IF(Data!B433="","",Data!B433)</f>
        <v/>
      </c>
      <c r="C451" s="10">
        <f>IF(Data!C433="","",Data!C433)</f>
        <v/>
      </c>
      <c r="D451" s="11">
        <f>IF(AND(ISNUMBER(B451),ISNUMBER(C451),ISNUMBER($B$7),ISNUMBER($B$8)),$B$8+$B$7*B451,"")</f>
        <v/>
      </c>
      <c r="E451" s="11">
        <f>IF(ISNUMBER(D451),C451-D451,"")</f>
        <v/>
      </c>
    </row>
    <row r="452">
      <c r="A452" s="10">
        <f>IF(Data!A434="","",Data!A434)</f>
        <v/>
      </c>
      <c r="B452" s="10">
        <f>IF(Data!B434="","",Data!B434)</f>
        <v/>
      </c>
      <c r="C452" s="10">
        <f>IF(Data!C434="","",Data!C434)</f>
        <v/>
      </c>
      <c r="D452" s="11">
        <f>IF(AND(ISNUMBER(B452),ISNUMBER(C452),ISNUMBER($B$7),ISNUMBER($B$8)),$B$8+$B$7*B452,"")</f>
        <v/>
      </c>
      <c r="E452" s="11">
        <f>IF(ISNUMBER(D452),C452-D452,"")</f>
        <v/>
      </c>
    </row>
    <row r="453">
      <c r="A453" s="10">
        <f>IF(Data!A435="","",Data!A435)</f>
        <v/>
      </c>
      <c r="B453" s="10">
        <f>IF(Data!B435="","",Data!B435)</f>
        <v/>
      </c>
      <c r="C453" s="10">
        <f>IF(Data!C435="","",Data!C435)</f>
        <v/>
      </c>
      <c r="D453" s="11">
        <f>IF(AND(ISNUMBER(B453),ISNUMBER(C453),ISNUMBER($B$7),ISNUMBER($B$8)),$B$8+$B$7*B453,"")</f>
        <v/>
      </c>
      <c r="E453" s="11">
        <f>IF(ISNUMBER(D453),C453-D453,"")</f>
        <v/>
      </c>
    </row>
    <row r="454">
      <c r="A454" s="10">
        <f>IF(Data!A436="","",Data!A436)</f>
        <v/>
      </c>
      <c r="B454" s="10">
        <f>IF(Data!B436="","",Data!B436)</f>
        <v/>
      </c>
      <c r="C454" s="10">
        <f>IF(Data!C436="","",Data!C436)</f>
        <v/>
      </c>
      <c r="D454" s="11">
        <f>IF(AND(ISNUMBER(B454),ISNUMBER(C454),ISNUMBER($B$7),ISNUMBER($B$8)),$B$8+$B$7*B454,"")</f>
        <v/>
      </c>
      <c r="E454" s="11">
        <f>IF(ISNUMBER(D454),C454-D454,"")</f>
        <v/>
      </c>
    </row>
    <row r="455">
      <c r="A455" s="10">
        <f>IF(Data!A437="","",Data!A437)</f>
        <v/>
      </c>
      <c r="B455" s="10">
        <f>IF(Data!B437="","",Data!B437)</f>
        <v/>
      </c>
      <c r="C455" s="10">
        <f>IF(Data!C437="","",Data!C437)</f>
        <v/>
      </c>
      <c r="D455" s="11">
        <f>IF(AND(ISNUMBER(B455),ISNUMBER(C455),ISNUMBER($B$7),ISNUMBER($B$8)),$B$8+$B$7*B455,"")</f>
        <v/>
      </c>
      <c r="E455" s="11">
        <f>IF(ISNUMBER(D455),C455-D455,"")</f>
        <v/>
      </c>
    </row>
    <row r="456">
      <c r="A456" s="10">
        <f>IF(Data!A438="","",Data!A438)</f>
        <v/>
      </c>
      <c r="B456" s="10">
        <f>IF(Data!B438="","",Data!B438)</f>
        <v/>
      </c>
      <c r="C456" s="10">
        <f>IF(Data!C438="","",Data!C438)</f>
        <v/>
      </c>
      <c r="D456" s="11">
        <f>IF(AND(ISNUMBER(B456),ISNUMBER(C456),ISNUMBER($B$7),ISNUMBER($B$8)),$B$8+$B$7*B456,"")</f>
        <v/>
      </c>
      <c r="E456" s="11">
        <f>IF(ISNUMBER(D456),C456-D456,"")</f>
        <v/>
      </c>
    </row>
    <row r="457">
      <c r="A457" s="10">
        <f>IF(Data!A439="","",Data!A439)</f>
        <v/>
      </c>
      <c r="B457" s="10">
        <f>IF(Data!B439="","",Data!B439)</f>
        <v/>
      </c>
      <c r="C457" s="10">
        <f>IF(Data!C439="","",Data!C439)</f>
        <v/>
      </c>
      <c r="D457" s="11">
        <f>IF(AND(ISNUMBER(B457),ISNUMBER(C457),ISNUMBER($B$7),ISNUMBER($B$8)),$B$8+$B$7*B457,"")</f>
        <v/>
      </c>
      <c r="E457" s="11">
        <f>IF(ISNUMBER(D457),C457-D457,"")</f>
        <v/>
      </c>
    </row>
    <row r="458">
      <c r="A458" s="10">
        <f>IF(Data!A440="","",Data!A440)</f>
        <v/>
      </c>
      <c r="B458" s="10">
        <f>IF(Data!B440="","",Data!B440)</f>
        <v/>
      </c>
      <c r="C458" s="10">
        <f>IF(Data!C440="","",Data!C440)</f>
        <v/>
      </c>
      <c r="D458" s="11">
        <f>IF(AND(ISNUMBER(B458),ISNUMBER(C458),ISNUMBER($B$7),ISNUMBER($B$8)),$B$8+$B$7*B458,"")</f>
        <v/>
      </c>
      <c r="E458" s="11">
        <f>IF(ISNUMBER(D458),C458-D458,"")</f>
        <v/>
      </c>
    </row>
    <row r="459">
      <c r="A459" s="10">
        <f>IF(Data!A441="","",Data!A441)</f>
        <v/>
      </c>
      <c r="B459" s="10">
        <f>IF(Data!B441="","",Data!B441)</f>
        <v/>
      </c>
      <c r="C459" s="10">
        <f>IF(Data!C441="","",Data!C441)</f>
        <v/>
      </c>
      <c r="D459" s="11">
        <f>IF(AND(ISNUMBER(B459),ISNUMBER(C459),ISNUMBER($B$7),ISNUMBER($B$8)),$B$8+$B$7*B459,"")</f>
        <v/>
      </c>
      <c r="E459" s="11">
        <f>IF(ISNUMBER(D459),C459-D459,"")</f>
        <v/>
      </c>
    </row>
    <row r="460">
      <c r="A460" s="10">
        <f>IF(Data!A442="","",Data!A442)</f>
        <v/>
      </c>
      <c r="B460" s="10">
        <f>IF(Data!B442="","",Data!B442)</f>
        <v/>
      </c>
      <c r="C460" s="10">
        <f>IF(Data!C442="","",Data!C442)</f>
        <v/>
      </c>
      <c r="D460" s="11">
        <f>IF(AND(ISNUMBER(B460),ISNUMBER(C460),ISNUMBER($B$7),ISNUMBER($B$8)),$B$8+$B$7*B460,"")</f>
        <v/>
      </c>
      <c r="E460" s="11">
        <f>IF(ISNUMBER(D460),C460-D460,"")</f>
        <v/>
      </c>
    </row>
    <row r="461">
      <c r="A461" s="10">
        <f>IF(Data!A443="","",Data!A443)</f>
        <v/>
      </c>
      <c r="B461" s="10">
        <f>IF(Data!B443="","",Data!B443)</f>
        <v/>
      </c>
      <c r="C461" s="10">
        <f>IF(Data!C443="","",Data!C443)</f>
        <v/>
      </c>
      <c r="D461" s="11">
        <f>IF(AND(ISNUMBER(B461),ISNUMBER(C461),ISNUMBER($B$7),ISNUMBER($B$8)),$B$8+$B$7*B461,"")</f>
        <v/>
      </c>
      <c r="E461" s="11">
        <f>IF(ISNUMBER(D461),C461-D461,"")</f>
        <v/>
      </c>
    </row>
    <row r="462">
      <c r="A462" s="10">
        <f>IF(Data!A444="","",Data!A444)</f>
        <v/>
      </c>
      <c r="B462" s="10">
        <f>IF(Data!B444="","",Data!B444)</f>
        <v/>
      </c>
      <c r="C462" s="10">
        <f>IF(Data!C444="","",Data!C444)</f>
        <v/>
      </c>
      <c r="D462" s="11">
        <f>IF(AND(ISNUMBER(B462),ISNUMBER(C462),ISNUMBER($B$7),ISNUMBER($B$8)),$B$8+$B$7*B462,"")</f>
        <v/>
      </c>
      <c r="E462" s="11">
        <f>IF(ISNUMBER(D462),C462-D462,"")</f>
        <v/>
      </c>
    </row>
    <row r="463">
      <c r="A463" s="10">
        <f>IF(Data!A445="","",Data!A445)</f>
        <v/>
      </c>
      <c r="B463" s="10">
        <f>IF(Data!B445="","",Data!B445)</f>
        <v/>
      </c>
      <c r="C463" s="10">
        <f>IF(Data!C445="","",Data!C445)</f>
        <v/>
      </c>
      <c r="D463" s="11">
        <f>IF(AND(ISNUMBER(B463),ISNUMBER(C463),ISNUMBER($B$7),ISNUMBER($B$8)),$B$8+$B$7*B463,"")</f>
        <v/>
      </c>
      <c r="E463" s="11">
        <f>IF(ISNUMBER(D463),C463-D463,"")</f>
        <v/>
      </c>
    </row>
    <row r="464">
      <c r="A464" s="10">
        <f>IF(Data!A446="","",Data!A446)</f>
        <v/>
      </c>
      <c r="B464" s="10">
        <f>IF(Data!B446="","",Data!B446)</f>
        <v/>
      </c>
      <c r="C464" s="10">
        <f>IF(Data!C446="","",Data!C446)</f>
        <v/>
      </c>
      <c r="D464" s="11">
        <f>IF(AND(ISNUMBER(B464),ISNUMBER(C464),ISNUMBER($B$7),ISNUMBER($B$8)),$B$8+$B$7*B464,"")</f>
        <v/>
      </c>
      <c r="E464" s="11">
        <f>IF(ISNUMBER(D464),C464-D464,"")</f>
        <v/>
      </c>
    </row>
    <row r="465">
      <c r="A465" s="10">
        <f>IF(Data!A447="","",Data!A447)</f>
        <v/>
      </c>
      <c r="B465" s="10">
        <f>IF(Data!B447="","",Data!B447)</f>
        <v/>
      </c>
      <c r="C465" s="10">
        <f>IF(Data!C447="","",Data!C447)</f>
        <v/>
      </c>
      <c r="D465" s="11">
        <f>IF(AND(ISNUMBER(B465),ISNUMBER(C465),ISNUMBER($B$7),ISNUMBER($B$8)),$B$8+$B$7*B465,"")</f>
        <v/>
      </c>
      <c r="E465" s="11">
        <f>IF(ISNUMBER(D465),C465-D465,"")</f>
        <v/>
      </c>
    </row>
    <row r="466">
      <c r="A466" s="10">
        <f>IF(Data!A448="","",Data!A448)</f>
        <v/>
      </c>
      <c r="B466" s="10">
        <f>IF(Data!B448="","",Data!B448)</f>
        <v/>
      </c>
      <c r="C466" s="10">
        <f>IF(Data!C448="","",Data!C448)</f>
        <v/>
      </c>
      <c r="D466" s="11">
        <f>IF(AND(ISNUMBER(B466),ISNUMBER(C466),ISNUMBER($B$7),ISNUMBER($B$8)),$B$8+$B$7*B466,"")</f>
        <v/>
      </c>
      <c r="E466" s="11">
        <f>IF(ISNUMBER(D466),C466-D466,"")</f>
        <v/>
      </c>
    </row>
    <row r="467">
      <c r="A467" s="10">
        <f>IF(Data!A449="","",Data!A449)</f>
        <v/>
      </c>
      <c r="B467" s="10">
        <f>IF(Data!B449="","",Data!B449)</f>
        <v/>
      </c>
      <c r="C467" s="10">
        <f>IF(Data!C449="","",Data!C449)</f>
        <v/>
      </c>
      <c r="D467" s="11">
        <f>IF(AND(ISNUMBER(B467),ISNUMBER(C467),ISNUMBER($B$7),ISNUMBER($B$8)),$B$8+$B$7*B467,"")</f>
        <v/>
      </c>
      <c r="E467" s="11">
        <f>IF(ISNUMBER(D467),C467-D467,"")</f>
        <v/>
      </c>
    </row>
    <row r="468">
      <c r="A468" s="10">
        <f>IF(Data!A450="","",Data!A450)</f>
        <v/>
      </c>
      <c r="B468" s="10">
        <f>IF(Data!B450="","",Data!B450)</f>
        <v/>
      </c>
      <c r="C468" s="10">
        <f>IF(Data!C450="","",Data!C450)</f>
        <v/>
      </c>
      <c r="D468" s="11">
        <f>IF(AND(ISNUMBER(B468),ISNUMBER(C468),ISNUMBER($B$7),ISNUMBER($B$8)),$B$8+$B$7*B468,"")</f>
        <v/>
      </c>
      <c r="E468" s="11">
        <f>IF(ISNUMBER(D468),C468-D468,"")</f>
        <v/>
      </c>
    </row>
    <row r="469">
      <c r="A469" s="10">
        <f>IF(Data!A451="","",Data!A451)</f>
        <v/>
      </c>
      <c r="B469" s="10">
        <f>IF(Data!B451="","",Data!B451)</f>
        <v/>
      </c>
      <c r="C469" s="10">
        <f>IF(Data!C451="","",Data!C451)</f>
        <v/>
      </c>
      <c r="D469" s="11">
        <f>IF(AND(ISNUMBER(B469),ISNUMBER(C469),ISNUMBER($B$7),ISNUMBER($B$8)),$B$8+$B$7*B469,"")</f>
        <v/>
      </c>
      <c r="E469" s="11">
        <f>IF(ISNUMBER(D469),C469-D469,"")</f>
        <v/>
      </c>
    </row>
    <row r="470">
      <c r="A470" s="10">
        <f>IF(Data!A452="","",Data!A452)</f>
        <v/>
      </c>
      <c r="B470" s="10">
        <f>IF(Data!B452="","",Data!B452)</f>
        <v/>
      </c>
      <c r="C470" s="10">
        <f>IF(Data!C452="","",Data!C452)</f>
        <v/>
      </c>
      <c r="D470" s="11">
        <f>IF(AND(ISNUMBER(B470),ISNUMBER(C470),ISNUMBER($B$7),ISNUMBER($B$8)),$B$8+$B$7*B470,"")</f>
        <v/>
      </c>
      <c r="E470" s="11">
        <f>IF(ISNUMBER(D470),C470-D470,"")</f>
        <v/>
      </c>
    </row>
    <row r="471">
      <c r="A471" s="10">
        <f>IF(Data!A453="","",Data!A453)</f>
        <v/>
      </c>
      <c r="B471" s="10">
        <f>IF(Data!B453="","",Data!B453)</f>
        <v/>
      </c>
      <c r="C471" s="10">
        <f>IF(Data!C453="","",Data!C453)</f>
        <v/>
      </c>
      <c r="D471" s="11">
        <f>IF(AND(ISNUMBER(B471),ISNUMBER(C471),ISNUMBER($B$7),ISNUMBER($B$8)),$B$8+$B$7*B471,"")</f>
        <v/>
      </c>
      <c r="E471" s="11">
        <f>IF(ISNUMBER(D471),C471-D471,"")</f>
        <v/>
      </c>
    </row>
    <row r="472">
      <c r="A472" s="10">
        <f>IF(Data!A454="","",Data!A454)</f>
        <v/>
      </c>
      <c r="B472" s="10">
        <f>IF(Data!B454="","",Data!B454)</f>
        <v/>
      </c>
      <c r="C472" s="10">
        <f>IF(Data!C454="","",Data!C454)</f>
        <v/>
      </c>
      <c r="D472" s="11">
        <f>IF(AND(ISNUMBER(B472),ISNUMBER(C472),ISNUMBER($B$7),ISNUMBER($B$8)),$B$8+$B$7*B472,"")</f>
        <v/>
      </c>
      <c r="E472" s="11">
        <f>IF(ISNUMBER(D472),C472-D472,"")</f>
        <v/>
      </c>
    </row>
    <row r="473">
      <c r="A473" s="10">
        <f>IF(Data!A455="","",Data!A455)</f>
        <v/>
      </c>
      <c r="B473" s="10">
        <f>IF(Data!B455="","",Data!B455)</f>
        <v/>
      </c>
      <c r="C473" s="10">
        <f>IF(Data!C455="","",Data!C455)</f>
        <v/>
      </c>
      <c r="D473" s="11">
        <f>IF(AND(ISNUMBER(B473),ISNUMBER(C473),ISNUMBER($B$7),ISNUMBER($B$8)),$B$8+$B$7*B473,"")</f>
        <v/>
      </c>
      <c r="E473" s="11">
        <f>IF(ISNUMBER(D473),C473-D473,"")</f>
        <v/>
      </c>
    </row>
    <row r="474">
      <c r="A474" s="10">
        <f>IF(Data!A456="","",Data!A456)</f>
        <v/>
      </c>
      <c r="B474" s="10">
        <f>IF(Data!B456="","",Data!B456)</f>
        <v/>
      </c>
      <c r="C474" s="10">
        <f>IF(Data!C456="","",Data!C456)</f>
        <v/>
      </c>
      <c r="D474" s="11">
        <f>IF(AND(ISNUMBER(B474),ISNUMBER(C474),ISNUMBER($B$7),ISNUMBER($B$8)),$B$8+$B$7*B474,"")</f>
        <v/>
      </c>
      <c r="E474" s="11">
        <f>IF(ISNUMBER(D474),C474-D474,"")</f>
        <v/>
      </c>
    </row>
    <row r="475">
      <c r="A475" s="10">
        <f>IF(Data!A457="","",Data!A457)</f>
        <v/>
      </c>
      <c r="B475" s="10">
        <f>IF(Data!B457="","",Data!B457)</f>
        <v/>
      </c>
      <c r="C475" s="10">
        <f>IF(Data!C457="","",Data!C457)</f>
        <v/>
      </c>
      <c r="D475" s="11">
        <f>IF(AND(ISNUMBER(B475),ISNUMBER(C475),ISNUMBER($B$7),ISNUMBER($B$8)),$B$8+$B$7*B475,"")</f>
        <v/>
      </c>
      <c r="E475" s="11">
        <f>IF(ISNUMBER(D475),C475-D475,"")</f>
        <v/>
      </c>
    </row>
    <row r="476">
      <c r="A476" s="10">
        <f>IF(Data!A458="","",Data!A458)</f>
        <v/>
      </c>
      <c r="B476" s="10">
        <f>IF(Data!B458="","",Data!B458)</f>
        <v/>
      </c>
      <c r="C476" s="10">
        <f>IF(Data!C458="","",Data!C458)</f>
        <v/>
      </c>
      <c r="D476" s="11">
        <f>IF(AND(ISNUMBER(B476),ISNUMBER(C476),ISNUMBER($B$7),ISNUMBER($B$8)),$B$8+$B$7*B476,"")</f>
        <v/>
      </c>
      <c r="E476" s="11">
        <f>IF(ISNUMBER(D476),C476-D476,"")</f>
        <v/>
      </c>
    </row>
    <row r="477">
      <c r="A477" s="10">
        <f>IF(Data!A459="","",Data!A459)</f>
        <v/>
      </c>
      <c r="B477" s="10">
        <f>IF(Data!B459="","",Data!B459)</f>
        <v/>
      </c>
      <c r="C477" s="10">
        <f>IF(Data!C459="","",Data!C459)</f>
        <v/>
      </c>
      <c r="D477" s="11">
        <f>IF(AND(ISNUMBER(B477),ISNUMBER(C477),ISNUMBER($B$7),ISNUMBER($B$8)),$B$8+$B$7*B477,"")</f>
        <v/>
      </c>
      <c r="E477" s="11">
        <f>IF(ISNUMBER(D477),C477-D477,"")</f>
        <v/>
      </c>
    </row>
    <row r="478">
      <c r="A478" s="10">
        <f>IF(Data!A460="","",Data!A460)</f>
        <v/>
      </c>
      <c r="B478" s="10">
        <f>IF(Data!B460="","",Data!B460)</f>
        <v/>
      </c>
      <c r="C478" s="10">
        <f>IF(Data!C460="","",Data!C460)</f>
        <v/>
      </c>
      <c r="D478" s="11">
        <f>IF(AND(ISNUMBER(B478),ISNUMBER(C478),ISNUMBER($B$7),ISNUMBER($B$8)),$B$8+$B$7*B478,"")</f>
        <v/>
      </c>
      <c r="E478" s="11">
        <f>IF(ISNUMBER(D478),C478-D478,"")</f>
        <v/>
      </c>
    </row>
    <row r="479">
      <c r="A479" s="10">
        <f>IF(Data!A461="","",Data!A461)</f>
        <v/>
      </c>
      <c r="B479" s="10">
        <f>IF(Data!B461="","",Data!B461)</f>
        <v/>
      </c>
      <c r="C479" s="10">
        <f>IF(Data!C461="","",Data!C461)</f>
        <v/>
      </c>
      <c r="D479" s="11">
        <f>IF(AND(ISNUMBER(B479),ISNUMBER(C479),ISNUMBER($B$7),ISNUMBER($B$8)),$B$8+$B$7*B479,"")</f>
        <v/>
      </c>
      <c r="E479" s="11">
        <f>IF(ISNUMBER(D479),C479-D479,"")</f>
        <v/>
      </c>
    </row>
    <row r="480">
      <c r="A480" s="10">
        <f>IF(Data!A462="","",Data!A462)</f>
        <v/>
      </c>
      <c r="B480" s="10">
        <f>IF(Data!B462="","",Data!B462)</f>
        <v/>
      </c>
      <c r="C480" s="10">
        <f>IF(Data!C462="","",Data!C462)</f>
        <v/>
      </c>
      <c r="D480" s="11">
        <f>IF(AND(ISNUMBER(B480),ISNUMBER(C480),ISNUMBER($B$7),ISNUMBER($B$8)),$B$8+$B$7*B480,"")</f>
        <v/>
      </c>
      <c r="E480" s="11">
        <f>IF(ISNUMBER(D480),C480-D480,"")</f>
        <v/>
      </c>
    </row>
    <row r="481">
      <c r="A481" s="10">
        <f>IF(Data!A463="","",Data!A463)</f>
        <v/>
      </c>
      <c r="B481" s="10">
        <f>IF(Data!B463="","",Data!B463)</f>
        <v/>
      </c>
      <c r="C481" s="10">
        <f>IF(Data!C463="","",Data!C463)</f>
        <v/>
      </c>
      <c r="D481" s="11">
        <f>IF(AND(ISNUMBER(B481),ISNUMBER(C481),ISNUMBER($B$7),ISNUMBER($B$8)),$B$8+$B$7*B481,"")</f>
        <v/>
      </c>
      <c r="E481" s="11">
        <f>IF(ISNUMBER(D481),C481-D481,"")</f>
        <v/>
      </c>
    </row>
    <row r="482">
      <c r="A482" s="10">
        <f>IF(Data!A464="","",Data!A464)</f>
        <v/>
      </c>
      <c r="B482" s="10">
        <f>IF(Data!B464="","",Data!B464)</f>
        <v/>
      </c>
      <c r="C482" s="10">
        <f>IF(Data!C464="","",Data!C464)</f>
        <v/>
      </c>
      <c r="D482" s="11">
        <f>IF(AND(ISNUMBER(B482),ISNUMBER(C482),ISNUMBER($B$7),ISNUMBER($B$8)),$B$8+$B$7*B482,"")</f>
        <v/>
      </c>
      <c r="E482" s="11">
        <f>IF(ISNUMBER(D482),C482-D482,"")</f>
        <v/>
      </c>
    </row>
    <row r="483">
      <c r="A483" s="10">
        <f>IF(Data!A465="","",Data!A465)</f>
        <v/>
      </c>
      <c r="B483" s="10">
        <f>IF(Data!B465="","",Data!B465)</f>
        <v/>
      </c>
      <c r="C483" s="10">
        <f>IF(Data!C465="","",Data!C465)</f>
        <v/>
      </c>
      <c r="D483" s="11">
        <f>IF(AND(ISNUMBER(B483),ISNUMBER(C483),ISNUMBER($B$7),ISNUMBER($B$8)),$B$8+$B$7*B483,"")</f>
        <v/>
      </c>
      <c r="E483" s="11">
        <f>IF(ISNUMBER(D483),C483-D483,"")</f>
        <v/>
      </c>
    </row>
    <row r="484">
      <c r="A484" s="10">
        <f>IF(Data!A466="","",Data!A466)</f>
        <v/>
      </c>
      <c r="B484" s="10">
        <f>IF(Data!B466="","",Data!B466)</f>
        <v/>
      </c>
      <c r="C484" s="10">
        <f>IF(Data!C466="","",Data!C466)</f>
        <v/>
      </c>
      <c r="D484" s="11">
        <f>IF(AND(ISNUMBER(B484),ISNUMBER(C484),ISNUMBER($B$7),ISNUMBER($B$8)),$B$8+$B$7*B484,"")</f>
        <v/>
      </c>
      <c r="E484" s="11">
        <f>IF(ISNUMBER(D484),C484-D484,"")</f>
        <v/>
      </c>
    </row>
    <row r="485">
      <c r="A485" s="10">
        <f>IF(Data!A467="","",Data!A467)</f>
        <v/>
      </c>
      <c r="B485" s="10">
        <f>IF(Data!B467="","",Data!B467)</f>
        <v/>
      </c>
      <c r="C485" s="10">
        <f>IF(Data!C467="","",Data!C467)</f>
        <v/>
      </c>
      <c r="D485" s="11">
        <f>IF(AND(ISNUMBER(B485),ISNUMBER(C485),ISNUMBER($B$7),ISNUMBER($B$8)),$B$8+$B$7*B485,"")</f>
        <v/>
      </c>
      <c r="E485" s="11">
        <f>IF(ISNUMBER(D485),C485-D485,"")</f>
        <v/>
      </c>
    </row>
    <row r="486">
      <c r="A486" s="10">
        <f>IF(Data!A468="","",Data!A468)</f>
        <v/>
      </c>
      <c r="B486" s="10">
        <f>IF(Data!B468="","",Data!B468)</f>
        <v/>
      </c>
      <c r="C486" s="10">
        <f>IF(Data!C468="","",Data!C468)</f>
        <v/>
      </c>
      <c r="D486" s="11">
        <f>IF(AND(ISNUMBER(B486),ISNUMBER(C486),ISNUMBER($B$7),ISNUMBER($B$8)),$B$8+$B$7*B486,"")</f>
        <v/>
      </c>
      <c r="E486" s="11">
        <f>IF(ISNUMBER(D486),C486-D486,"")</f>
        <v/>
      </c>
    </row>
    <row r="487">
      <c r="A487" s="10">
        <f>IF(Data!A469="","",Data!A469)</f>
        <v/>
      </c>
      <c r="B487" s="10">
        <f>IF(Data!B469="","",Data!B469)</f>
        <v/>
      </c>
      <c r="C487" s="10">
        <f>IF(Data!C469="","",Data!C469)</f>
        <v/>
      </c>
      <c r="D487" s="11">
        <f>IF(AND(ISNUMBER(B487),ISNUMBER(C487),ISNUMBER($B$7),ISNUMBER($B$8)),$B$8+$B$7*B487,"")</f>
        <v/>
      </c>
      <c r="E487" s="11">
        <f>IF(ISNUMBER(D487),C487-D487,"")</f>
        <v/>
      </c>
    </row>
    <row r="488">
      <c r="A488" s="10">
        <f>IF(Data!A470="","",Data!A470)</f>
        <v/>
      </c>
      <c r="B488" s="10">
        <f>IF(Data!B470="","",Data!B470)</f>
        <v/>
      </c>
      <c r="C488" s="10">
        <f>IF(Data!C470="","",Data!C470)</f>
        <v/>
      </c>
      <c r="D488" s="11">
        <f>IF(AND(ISNUMBER(B488),ISNUMBER(C488),ISNUMBER($B$7),ISNUMBER($B$8)),$B$8+$B$7*B488,"")</f>
        <v/>
      </c>
      <c r="E488" s="11">
        <f>IF(ISNUMBER(D488),C488-D488,"")</f>
        <v/>
      </c>
    </row>
    <row r="489">
      <c r="A489" s="10">
        <f>IF(Data!A471="","",Data!A471)</f>
        <v/>
      </c>
      <c r="B489" s="10">
        <f>IF(Data!B471="","",Data!B471)</f>
        <v/>
      </c>
      <c r="C489" s="10">
        <f>IF(Data!C471="","",Data!C471)</f>
        <v/>
      </c>
      <c r="D489" s="11">
        <f>IF(AND(ISNUMBER(B489),ISNUMBER(C489),ISNUMBER($B$7),ISNUMBER($B$8)),$B$8+$B$7*B489,"")</f>
        <v/>
      </c>
      <c r="E489" s="11">
        <f>IF(ISNUMBER(D489),C489-D489,"")</f>
        <v/>
      </c>
    </row>
    <row r="490">
      <c r="A490" s="10">
        <f>IF(Data!A472="","",Data!A472)</f>
        <v/>
      </c>
      <c r="B490" s="10">
        <f>IF(Data!B472="","",Data!B472)</f>
        <v/>
      </c>
      <c r="C490" s="10">
        <f>IF(Data!C472="","",Data!C472)</f>
        <v/>
      </c>
      <c r="D490" s="11">
        <f>IF(AND(ISNUMBER(B490),ISNUMBER(C490),ISNUMBER($B$7),ISNUMBER($B$8)),$B$8+$B$7*B490,"")</f>
        <v/>
      </c>
      <c r="E490" s="11">
        <f>IF(ISNUMBER(D490),C490-D490,"")</f>
        <v/>
      </c>
    </row>
    <row r="491">
      <c r="A491" s="10">
        <f>IF(Data!A473="","",Data!A473)</f>
        <v/>
      </c>
      <c r="B491" s="10">
        <f>IF(Data!B473="","",Data!B473)</f>
        <v/>
      </c>
      <c r="C491" s="10">
        <f>IF(Data!C473="","",Data!C473)</f>
        <v/>
      </c>
      <c r="D491" s="11">
        <f>IF(AND(ISNUMBER(B491),ISNUMBER(C491),ISNUMBER($B$7),ISNUMBER($B$8)),$B$8+$B$7*B491,"")</f>
        <v/>
      </c>
      <c r="E491" s="11">
        <f>IF(ISNUMBER(D491),C491-D491,"")</f>
        <v/>
      </c>
    </row>
    <row r="492">
      <c r="A492" s="10">
        <f>IF(Data!A474="","",Data!A474)</f>
        <v/>
      </c>
      <c r="B492" s="10">
        <f>IF(Data!B474="","",Data!B474)</f>
        <v/>
      </c>
      <c r="C492" s="10">
        <f>IF(Data!C474="","",Data!C474)</f>
        <v/>
      </c>
      <c r="D492" s="11">
        <f>IF(AND(ISNUMBER(B492),ISNUMBER(C492),ISNUMBER($B$7),ISNUMBER($B$8)),$B$8+$B$7*B492,"")</f>
        <v/>
      </c>
      <c r="E492" s="11">
        <f>IF(ISNUMBER(D492),C492-D492,"")</f>
        <v/>
      </c>
    </row>
    <row r="493">
      <c r="A493" s="10">
        <f>IF(Data!A475="","",Data!A475)</f>
        <v/>
      </c>
      <c r="B493" s="10">
        <f>IF(Data!B475="","",Data!B475)</f>
        <v/>
      </c>
      <c r="C493" s="10">
        <f>IF(Data!C475="","",Data!C475)</f>
        <v/>
      </c>
      <c r="D493" s="11">
        <f>IF(AND(ISNUMBER(B493),ISNUMBER(C493),ISNUMBER($B$7),ISNUMBER($B$8)),$B$8+$B$7*B493,"")</f>
        <v/>
      </c>
      <c r="E493" s="11">
        <f>IF(ISNUMBER(D493),C493-D493,"")</f>
        <v/>
      </c>
    </row>
    <row r="494">
      <c r="A494" s="10">
        <f>IF(Data!A476="","",Data!A476)</f>
        <v/>
      </c>
      <c r="B494" s="10">
        <f>IF(Data!B476="","",Data!B476)</f>
        <v/>
      </c>
      <c r="C494" s="10">
        <f>IF(Data!C476="","",Data!C476)</f>
        <v/>
      </c>
      <c r="D494" s="11">
        <f>IF(AND(ISNUMBER(B494),ISNUMBER(C494),ISNUMBER($B$7),ISNUMBER($B$8)),$B$8+$B$7*B494,"")</f>
        <v/>
      </c>
      <c r="E494" s="11">
        <f>IF(ISNUMBER(D494),C494-D494,"")</f>
        <v/>
      </c>
    </row>
    <row r="495">
      <c r="A495" s="10">
        <f>IF(Data!A477="","",Data!A477)</f>
        <v/>
      </c>
      <c r="B495" s="10">
        <f>IF(Data!B477="","",Data!B477)</f>
        <v/>
      </c>
      <c r="C495" s="10">
        <f>IF(Data!C477="","",Data!C477)</f>
        <v/>
      </c>
      <c r="D495" s="11">
        <f>IF(AND(ISNUMBER(B495),ISNUMBER(C495),ISNUMBER($B$7),ISNUMBER($B$8)),$B$8+$B$7*B495,"")</f>
        <v/>
      </c>
      <c r="E495" s="11">
        <f>IF(ISNUMBER(D495),C495-D495,"")</f>
        <v/>
      </c>
    </row>
    <row r="496">
      <c r="A496" s="10">
        <f>IF(Data!A478="","",Data!A478)</f>
        <v/>
      </c>
      <c r="B496" s="10">
        <f>IF(Data!B478="","",Data!B478)</f>
        <v/>
      </c>
      <c r="C496" s="10">
        <f>IF(Data!C478="","",Data!C478)</f>
        <v/>
      </c>
      <c r="D496" s="11">
        <f>IF(AND(ISNUMBER(B496),ISNUMBER(C496),ISNUMBER($B$7),ISNUMBER($B$8)),$B$8+$B$7*B496,"")</f>
        <v/>
      </c>
      <c r="E496" s="11">
        <f>IF(ISNUMBER(D496),C496-D496,"")</f>
        <v/>
      </c>
    </row>
    <row r="497">
      <c r="A497" s="10">
        <f>IF(Data!A479="","",Data!A479)</f>
        <v/>
      </c>
      <c r="B497" s="10">
        <f>IF(Data!B479="","",Data!B479)</f>
        <v/>
      </c>
      <c r="C497" s="10">
        <f>IF(Data!C479="","",Data!C479)</f>
        <v/>
      </c>
      <c r="D497" s="11">
        <f>IF(AND(ISNUMBER(B497),ISNUMBER(C497),ISNUMBER($B$7),ISNUMBER($B$8)),$B$8+$B$7*B497,"")</f>
        <v/>
      </c>
      <c r="E497" s="11">
        <f>IF(ISNUMBER(D497),C497-D497,"")</f>
        <v/>
      </c>
    </row>
    <row r="498">
      <c r="A498" s="10">
        <f>IF(Data!A480="","",Data!A480)</f>
        <v/>
      </c>
      <c r="B498" s="10">
        <f>IF(Data!B480="","",Data!B480)</f>
        <v/>
      </c>
      <c r="C498" s="10">
        <f>IF(Data!C480="","",Data!C480)</f>
        <v/>
      </c>
      <c r="D498" s="11">
        <f>IF(AND(ISNUMBER(B498),ISNUMBER(C498),ISNUMBER($B$7),ISNUMBER($B$8)),$B$8+$B$7*B498,"")</f>
        <v/>
      </c>
      <c r="E498" s="11">
        <f>IF(ISNUMBER(D498),C498-D498,"")</f>
        <v/>
      </c>
    </row>
    <row r="499">
      <c r="A499" s="10">
        <f>IF(Data!A481="","",Data!A481)</f>
        <v/>
      </c>
      <c r="B499" s="10">
        <f>IF(Data!B481="","",Data!B481)</f>
        <v/>
      </c>
      <c r="C499" s="10">
        <f>IF(Data!C481="","",Data!C481)</f>
        <v/>
      </c>
      <c r="D499" s="11">
        <f>IF(AND(ISNUMBER(B499),ISNUMBER(C499),ISNUMBER($B$7),ISNUMBER($B$8)),$B$8+$B$7*B499,"")</f>
        <v/>
      </c>
      <c r="E499" s="11">
        <f>IF(ISNUMBER(D499),C499-D499,"")</f>
        <v/>
      </c>
    </row>
    <row r="500">
      <c r="A500" s="10">
        <f>IF(Data!A482="","",Data!A482)</f>
        <v/>
      </c>
      <c r="B500" s="10">
        <f>IF(Data!B482="","",Data!B482)</f>
        <v/>
      </c>
      <c r="C500" s="10">
        <f>IF(Data!C482="","",Data!C482)</f>
        <v/>
      </c>
      <c r="D500" s="11">
        <f>IF(AND(ISNUMBER(B500),ISNUMBER(C500),ISNUMBER($B$7),ISNUMBER($B$8)),$B$8+$B$7*B500,"")</f>
        <v/>
      </c>
      <c r="E500" s="11">
        <f>IF(ISNUMBER(D500),C500-D500,"")</f>
        <v/>
      </c>
    </row>
    <row r="501">
      <c r="A501" s="10">
        <f>IF(Data!A483="","",Data!A483)</f>
        <v/>
      </c>
      <c r="B501" s="10">
        <f>IF(Data!B483="","",Data!B483)</f>
        <v/>
      </c>
      <c r="C501" s="10">
        <f>IF(Data!C483="","",Data!C483)</f>
        <v/>
      </c>
      <c r="D501" s="11">
        <f>IF(AND(ISNUMBER(B501),ISNUMBER(C501),ISNUMBER($B$7),ISNUMBER($B$8)),$B$8+$B$7*B501,"")</f>
        <v/>
      </c>
      <c r="E501" s="11">
        <f>IF(ISNUMBER(D501),C501-D501,"")</f>
        <v/>
      </c>
    </row>
    <row r="502">
      <c r="A502" s="10">
        <f>IF(Data!A484="","",Data!A484)</f>
        <v/>
      </c>
      <c r="B502" s="10">
        <f>IF(Data!B484="","",Data!B484)</f>
        <v/>
      </c>
      <c r="C502" s="10">
        <f>IF(Data!C484="","",Data!C484)</f>
        <v/>
      </c>
      <c r="D502" s="11">
        <f>IF(AND(ISNUMBER(B502),ISNUMBER(C502),ISNUMBER($B$7),ISNUMBER($B$8)),$B$8+$B$7*B502,"")</f>
        <v/>
      </c>
      <c r="E502" s="11">
        <f>IF(ISNUMBER(D502),C502-D502,"")</f>
        <v/>
      </c>
    </row>
    <row r="503">
      <c r="A503" s="10">
        <f>IF(Data!A485="","",Data!A485)</f>
        <v/>
      </c>
      <c r="B503" s="10">
        <f>IF(Data!B485="","",Data!B485)</f>
        <v/>
      </c>
      <c r="C503" s="10">
        <f>IF(Data!C485="","",Data!C485)</f>
        <v/>
      </c>
      <c r="D503" s="11">
        <f>IF(AND(ISNUMBER(B503),ISNUMBER(C503),ISNUMBER($B$7),ISNUMBER($B$8)),$B$8+$B$7*B503,"")</f>
        <v/>
      </c>
      <c r="E503" s="11">
        <f>IF(ISNUMBER(D503),C503-D503,"")</f>
        <v/>
      </c>
    </row>
    <row r="504">
      <c r="A504" s="10">
        <f>IF(Data!A486="","",Data!A486)</f>
        <v/>
      </c>
      <c r="B504" s="10">
        <f>IF(Data!B486="","",Data!B486)</f>
        <v/>
      </c>
      <c r="C504" s="10">
        <f>IF(Data!C486="","",Data!C486)</f>
        <v/>
      </c>
      <c r="D504" s="11">
        <f>IF(AND(ISNUMBER(B504),ISNUMBER(C504),ISNUMBER($B$7),ISNUMBER($B$8)),$B$8+$B$7*B504,"")</f>
        <v/>
      </c>
      <c r="E504" s="11">
        <f>IF(ISNUMBER(D504),C504-D504,"")</f>
        <v/>
      </c>
    </row>
    <row r="505">
      <c r="A505" s="10">
        <f>IF(Data!A487="","",Data!A487)</f>
        <v/>
      </c>
      <c r="B505" s="10">
        <f>IF(Data!B487="","",Data!B487)</f>
        <v/>
      </c>
      <c r="C505" s="10">
        <f>IF(Data!C487="","",Data!C487)</f>
        <v/>
      </c>
      <c r="D505" s="11">
        <f>IF(AND(ISNUMBER(B505),ISNUMBER(C505),ISNUMBER($B$7),ISNUMBER($B$8)),$B$8+$B$7*B505,"")</f>
        <v/>
      </c>
      <c r="E505" s="11">
        <f>IF(ISNUMBER(D505),C505-D505,"")</f>
        <v/>
      </c>
    </row>
    <row r="506">
      <c r="A506" s="10">
        <f>IF(Data!A488="","",Data!A488)</f>
        <v/>
      </c>
      <c r="B506" s="10">
        <f>IF(Data!B488="","",Data!B488)</f>
        <v/>
      </c>
      <c r="C506" s="10">
        <f>IF(Data!C488="","",Data!C488)</f>
        <v/>
      </c>
      <c r="D506" s="11">
        <f>IF(AND(ISNUMBER(B506),ISNUMBER(C506),ISNUMBER($B$7),ISNUMBER($B$8)),$B$8+$B$7*B506,"")</f>
        <v/>
      </c>
      <c r="E506" s="11">
        <f>IF(ISNUMBER(D506),C506-D506,"")</f>
        <v/>
      </c>
    </row>
    <row r="507">
      <c r="A507" s="10">
        <f>IF(Data!A489="","",Data!A489)</f>
        <v/>
      </c>
      <c r="B507" s="10">
        <f>IF(Data!B489="","",Data!B489)</f>
        <v/>
      </c>
      <c r="C507" s="10">
        <f>IF(Data!C489="","",Data!C489)</f>
        <v/>
      </c>
      <c r="D507" s="11">
        <f>IF(AND(ISNUMBER(B507),ISNUMBER(C507),ISNUMBER($B$7),ISNUMBER($B$8)),$B$8+$B$7*B507,"")</f>
        <v/>
      </c>
      <c r="E507" s="11">
        <f>IF(ISNUMBER(D507),C507-D507,"")</f>
        <v/>
      </c>
    </row>
    <row r="508">
      <c r="A508" s="10">
        <f>IF(Data!A490="","",Data!A490)</f>
        <v/>
      </c>
      <c r="B508" s="10">
        <f>IF(Data!B490="","",Data!B490)</f>
        <v/>
      </c>
      <c r="C508" s="10">
        <f>IF(Data!C490="","",Data!C490)</f>
        <v/>
      </c>
      <c r="D508" s="11">
        <f>IF(AND(ISNUMBER(B508),ISNUMBER(C508),ISNUMBER($B$7),ISNUMBER($B$8)),$B$8+$B$7*B508,"")</f>
        <v/>
      </c>
      <c r="E508" s="11">
        <f>IF(ISNUMBER(D508),C508-D508,"")</f>
        <v/>
      </c>
    </row>
    <row r="509">
      <c r="A509" s="10">
        <f>IF(Data!A491="","",Data!A491)</f>
        <v/>
      </c>
      <c r="B509" s="10">
        <f>IF(Data!B491="","",Data!B491)</f>
        <v/>
      </c>
      <c r="C509" s="10">
        <f>IF(Data!C491="","",Data!C491)</f>
        <v/>
      </c>
      <c r="D509" s="11">
        <f>IF(AND(ISNUMBER(B509),ISNUMBER(C509),ISNUMBER($B$7),ISNUMBER($B$8)),$B$8+$B$7*B509,"")</f>
        <v/>
      </c>
      <c r="E509" s="11">
        <f>IF(ISNUMBER(D509),C509-D509,"")</f>
        <v/>
      </c>
    </row>
    <row r="510">
      <c r="A510" s="10">
        <f>IF(Data!A492="","",Data!A492)</f>
        <v/>
      </c>
      <c r="B510" s="10">
        <f>IF(Data!B492="","",Data!B492)</f>
        <v/>
      </c>
      <c r="C510" s="10">
        <f>IF(Data!C492="","",Data!C492)</f>
        <v/>
      </c>
      <c r="D510" s="11">
        <f>IF(AND(ISNUMBER(B510),ISNUMBER(C510),ISNUMBER($B$7),ISNUMBER($B$8)),$B$8+$B$7*B510,"")</f>
        <v/>
      </c>
      <c r="E510" s="11">
        <f>IF(ISNUMBER(D510),C510-D510,"")</f>
        <v/>
      </c>
    </row>
    <row r="511">
      <c r="A511" s="10">
        <f>IF(Data!A493="","",Data!A493)</f>
        <v/>
      </c>
      <c r="B511" s="10">
        <f>IF(Data!B493="","",Data!B493)</f>
        <v/>
      </c>
      <c r="C511" s="10">
        <f>IF(Data!C493="","",Data!C493)</f>
        <v/>
      </c>
      <c r="D511" s="11">
        <f>IF(AND(ISNUMBER(B511),ISNUMBER(C511),ISNUMBER($B$7),ISNUMBER($B$8)),$B$8+$B$7*B511,"")</f>
        <v/>
      </c>
      <c r="E511" s="11">
        <f>IF(ISNUMBER(D511),C511-D511,"")</f>
        <v/>
      </c>
    </row>
    <row r="512">
      <c r="A512" s="10">
        <f>IF(Data!A494="","",Data!A494)</f>
        <v/>
      </c>
      <c r="B512" s="10">
        <f>IF(Data!B494="","",Data!B494)</f>
        <v/>
      </c>
      <c r="C512" s="10">
        <f>IF(Data!C494="","",Data!C494)</f>
        <v/>
      </c>
      <c r="D512" s="11">
        <f>IF(AND(ISNUMBER(B512),ISNUMBER(C512),ISNUMBER($B$7),ISNUMBER($B$8)),$B$8+$B$7*B512,"")</f>
        <v/>
      </c>
      <c r="E512" s="11">
        <f>IF(ISNUMBER(D512),C512-D512,"")</f>
        <v/>
      </c>
    </row>
    <row r="513">
      <c r="A513" s="10">
        <f>IF(Data!A495="","",Data!A495)</f>
        <v/>
      </c>
      <c r="B513" s="10">
        <f>IF(Data!B495="","",Data!B495)</f>
        <v/>
      </c>
      <c r="C513" s="10">
        <f>IF(Data!C495="","",Data!C495)</f>
        <v/>
      </c>
      <c r="D513" s="11">
        <f>IF(AND(ISNUMBER(B513),ISNUMBER(C513),ISNUMBER($B$7),ISNUMBER($B$8)),$B$8+$B$7*B513,"")</f>
        <v/>
      </c>
      <c r="E513" s="11">
        <f>IF(ISNUMBER(D513),C513-D513,"")</f>
        <v/>
      </c>
    </row>
    <row r="514">
      <c r="A514" s="10">
        <f>IF(Data!A496="","",Data!A496)</f>
        <v/>
      </c>
      <c r="B514" s="10">
        <f>IF(Data!B496="","",Data!B496)</f>
        <v/>
      </c>
      <c r="C514" s="10">
        <f>IF(Data!C496="","",Data!C496)</f>
        <v/>
      </c>
      <c r="D514" s="11">
        <f>IF(AND(ISNUMBER(B514),ISNUMBER(C514),ISNUMBER($B$7),ISNUMBER($B$8)),$B$8+$B$7*B514,"")</f>
        <v/>
      </c>
      <c r="E514" s="11">
        <f>IF(ISNUMBER(D514),C514-D514,"")</f>
        <v/>
      </c>
    </row>
    <row r="515">
      <c r="A515" s="10">
        <f>IF(Data!A497="","",Data!A497)</f>
        <v/>
      </c>
      <c r="B515" s="10">
        <f>IF(Data!B497="","",Data!B497)</f>
        <v/>
      </c>
      <c r="C515" s="10">
        <f>IF(Data!C497="","",Data!C497)</f>
        <v/>
      </c>
      <c r="D515" s="11">
        <f>IF(AND(ISNUMBER(B515),ISNUMBER(C515),ISNUMBER($B$7),ISNUMBER($B$8)),$B$8+$B$7*B515,"")</f>
        <v/>
      </c>
      <c r="E515" s="11">
        <f>IF(ISNUMBER(D515),C515-D515,"")</f>
        <v/>
      </c>
    </row>
    <row r="516">
      <c r="A516" s="10">
        <f>IF(Data!A498="","",Data!A498)</f>
        <v/>
      </c>
      <c r="B516" s="10">
        <f>IF(Data!B498="","",Data!B498)</f>
        <v/>
      </c>
      <c r="C516" s="10">
        <f>IF(Data!C498="","",Data!C498)</f>
        <v/>
      </c>
      <c r="D516" s="11">
        <f>IF(AND(ISNUMBER(B516),ISNUMBER(C516),ISNUMBER($B$7),ISNUMBER($B$8)),$B$8+$B$7*B516,"")</f>
        <v/>
      </c>
      <c r="E516" s="11">
        <f>IF(ISNUMBER(D516),C516-D516,"")</f>
        <v/>
      </c>
    </row>
    <row r="517">
      <c r="A517" s="10">
        <f>IF(Data!A499="","",Data!A499)</f>
        <v/>
      </c>
      <c r="B517" s="10">
        <f>IF(Data!B499="","",Data!B499)</f>
        <v/>
      </c>
      <c r="C517" s="10">
        <f>IF(Data!C499="","",Data!C499)</f>
        <v/>
      </c>
      <c r="D517" s="11">
        <f>IF(AND(ISNUMBER(B517),ISNUMBER(C517),ISNUMBER($B$7),ISNUMBER($B$8)),$B$8+$B$7*B517,"")</f>
        <v/>
      </c>
      <c r="E517" s="11">
        <f>IF(ISNUMBER(D517),C517-D517,"")</f>
        <v/>
      </c>
    </row>
    <row r="518">
      <c r="A518" s="10">
        <f>IF(Data!A500="","",Data!A500)</f>
        <v/>
      </c>
      <c r="B518" s="10">
        <f>IF(Data!B500="","",Data!B500)</f>
        <v/>
      </c>
      <c r="C518" s="10">
        <f>IF(Data!C500="","",Data!C500)</f>
        <v/>
      </c>
      <c r="D518" s="11">
        <f>IF(AND(ISNUMBER(B518),ISNUMBER(C518),ISNUMBER($B$7),ISNUMBER($B$8)),$B$8+$B$7*B518,"")</f>
        <v/>
      </c>
      <c r="E518" s="11">
        <f>IF(ISNUMBER(D518),C518-D518,"")</f>
        <v/>
      </c>
    </row>
    <row r="519">
      <c r="A519" s="10">
        <f>IF(Data!A501="","",Data!A501)</f>
        <v/>
      </c>
      <c r="B519" s="10">
        <f>IF(Data!B501="","",Data!B501)</f>
        <v/>
      </c>
      <c r="C519" s="10">
        <f>IF(Data!C501="","",Data!C501)</f>
        <v/>
      </c>
      <c r="D519" s="11">
        <f>IF(AND(ISNUMBER(B519),ISNUMBER(C519),ISNUMBER($B$7),ISNUMBER($B$8)),$B$8+$B$7*B519,"")</f>
        <v/>
      </c>
      <c r="E519" s="11">
        <f>IF(ISNUMBER(D519),C519-D519,"")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46" customWidth="1" min="1" max="1"/>
    <col width="70" customWidth="1" min="2" max="2"/>
  </cols>
  <sheetData>
    <row r="1">
      <c r="A1" s="2" t="inlineStr">
        <is>
          <t>Hypothesis Test for Correlation</t>
        </is>
      </c>
    </row>
    <row r="2">
      <c r="A2" s="3" t="inlineStr">
        <is>
          <t>Does screen time have a statistically significant linear relationship with students’ sleep duration?</t>
        </is>
      </c>
    </row>
    <row r="3">
      <c r="A3" s="1" t="inlineStr">
        <is>
          <t>Item</t>
        </is>
      </c>
      <c r="B3" s="1" t="inlineStr">
        <is>
          <t>Value</t>
        </is>
      </c>
    </row>
    <row r="4">
      <c r="A4" s="4" t="inlineStr">
        <is>
          <t>Null hypothesis H₀</t>
        </is>
      </c>
      <c r="B4" s="12" t="inlineStr">
        <is>
          <t>ρ = 0 (no linear relationship)</t>
        </is>
      </c>
    </row>
    <row r="5">
      <c r="A5" s="4" t="inlineStr">
        <is>
          <t>Alternative hypothesis H₁</t>
        </is>
      </c>
      <c r="B5" s="12" t="inlineStr">
        <is>
          <t>ρ ≠ 0 (linear relationship exists)</t>
        </is>
      </c>
    </row>
    <row r="6">
      <c r="A6" s="4" t="inlineStr">
        <is>
          <t>Significance level (α)</t>
        </is>
      </c>
      <c r="B6" s="13" t="n">
        <v>0.05</v>
      </c>
    </row>
    <row r="7">
      <c r="A7" s="4" t="inlineStr">
        <is>
          <t>Valid pairs (n)</t>
        </is>
      </c>
      <c r="B7" s="14">
        <f>'Correlation &amp; Regression'!B4</f>
        <v/>
      </c>
    </row>
    <row r="8">
      <c r="A8" s="4" t="inlineStr">
        <is>
          <t>Pearson Correlation (r)</t>
        </is>
      </c>
      <c r="B8" s="15">
        <f>'Correlation &amp; Regression'!B5</f>
        <v/>
      </c>
    </row>
    <row r="9">
      <c r="A9" s="4" t="inlineStr">
        <is>
          <t>Degrees of freedom (df = n − 2)</t>
        </is>
      </c>
      <c r="B9" s="14">
        <f>IF(B7&gt;=3,B7-2,"n/a")</f>
        <v/>
      </c>
    </row>
    <row r="10">
      <c r="A10" s="4" t="inlineStr">
        <is>
          <t>Test statistic t = r × √((n − 2) / (1 − r²))</t>
        </is>
      </c>
      <c r="B10" s="15">
        <f>IF(AND(B7&gt;=3,ISNUMBER(B8)),IF(ABS(B8)&gt;=1,"∞ (|r| = 1)",B8*SQRT((B7-2)/(1-B8^2))),"n/a")</f>
        <v/>
      </c>
    </row>
    <row r="11">
      <c r="A11" s="4" t="inlineStr">
        <is>
          <t>Two-tailed p-value</t>
        </is>
      </c>
      <c r="B11" s="15">
        <f>IF(AND(B7&gt;=3,ISNUMBER(B8)),IF(ABS(B8)&gt;=1,0,_xlfn.T.DIST.2T(ABS(B10),B9)),"n/a")</f>
        <v/>
      </c>
    </row>
    <row r="12">
      <c r="A12" s="4" t="inlineStr">
        <is>
          <t>Critical t (two-tailed, α)</t>
        </is>
      </c>
      <c r="B12" s="15">
        <f>IF(ISNUMBER(B9),_xlfn.T.INV.2T(B6,B9),"n/a")</f>
        <v/>
      </c>
    </row>
    <row r="13">
      <c r="A13" s="4" t="inlineStr">
        <is>
          <t>Decision</t>
        </is>
      </c>
      <c r="B13" s="16">
        <f>IF(ISNUMBER(B11),IF(B11&lt;B6,"Reject H₀ — statistically significant relationship.","Fail to reject H₀ — no statistically significant relationship."),"Not calculated: at least 3 valid observations, with variation in both variables, are required.")</f>
        <v/>
      </c>
    </row>
    <row r="15">
      <c r="A15" s="7" t="inlineStr">
        <is>
          <t>α = 0.05 (blue cell) is the significance level set by the project brief; it can be changed. Decision rule: reject H₀ if p-value &lt; α.</t>
        </is>
      </c>
    </row>
    <row r="16">
      <c r="A16" s="7" t="inlineStr">
        <is>
          <t>The t-test assumes a roughly linear relationship, independent students, and approximately normal data.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2" t="inlineStr">
        <is>
          <t>Charts</t>
        </is>
      </c>
    </row>
    <row r="2">
      <c r="A2" s="3" t="inlineStr">
        <is>
          <t>All charts are built from the Data sheet only. Bin limits (blue) can be edited; counts update automatically.</t>
        </is>
      </c>
    </row>
    <row r="3">
      <c r="A3" s="4" t="inlineStr">
        <is>
          <t>Screen Time bins</t>
        </is>
      </c>
      <c r="F3" s="4" t="inlineStr">
        <is>
          <t>Sleep bins</t>
        </is>
      </c>
    </row>
    <row r="4">
      <c r="A4" s="1" t="inlineStr">
        <is>
          <t>From (≥)</t>
        </is>
      </c>
      <c r="B4" s="1" t="inlineStr">
        <is>
          <t>To (&lt;)</t>
        </is>
      </c>
      <c r="C4" s="1" t="inlineStr">
        <is>
          <t>Bin</t>
        </is>
      </c>
      <c r="D4" s="1" t="inlineStr">
        <is>
          <t>Count</t>
        </is>
      </c>
      <c r="F4" s="1" t="inlineStr">
        <is>
          <t>From (≥)</t>
        </is>
      </c>
      <c r="G4" s="1" t="inlineStr">
        <is>
          <t>To (&lt;)</t>
        </is>
      </c>
      <c r="H4" s="1" t="inlineStr">
        <is>
          <t>Bin</t>
        </is>
      </c>
      <c r="I4" s="1" t="inlineStr">
        <is>
          <t>Count</t>
        </is>
      </c>
    </row>
    <row r="5">
      <c r="A5" s="17" t="n">
        <v>0</v>
      </c>
      <c r="B5" s="17" t="n">
        <v>2</v>
      </c>
      <c r="C5" s="10">
        <f>TEXT(A5,"0")&amp;"–"&amp;TEXT(B5,"0")</f>
        <v/>
      </c>
      <c r="D5" s="10">
        <f>COUNTIFS(Data!$B$2:$B$501,"&gt;="&amp;A5,Data!$B$2:$B$501,"&lt;"&amp;B5)</f>
        <v/>
      </c>
      <c r="F5" s="17" t="n">
        <v>0</v>
      </c>
      <c r="G5" s="17" t="n">
        <v>4</v>
      </c>
      <c r="H5" s="10">
        <f>TEXT(F5,"0")&amp;"–"&amp;TEXT(G5,"0")</f>
        <v/>
      </c>
      <c r="I5" s="10">
        <f>COUNTIFS(Data!$C$2:$C$501,"&gt;="&amp;F5,Data!$C$2:$C$501,"&lt;"&amp;G5)</f>
        <v/>
      </c>
    </row>
    <row r="6">
      <c r="A6" s="17" t="n">
        <v>2</v>
      </c>
      <c r="B6" s="17" t="n">
        <v>4</v>
      </c>
      <c r="C6" s="10">
        <f>TEXT(A6,"0")&amp;"–"&amp;TEXT(B6,"0")</f>
        <v/>
      </c>
      <c r="D6" s="10">
        <f>COUNTIFS(Data!$B$2:$B$501,"&gt;="&amp;A6,Data!$B$2:$B$501,"&lt;"&amp;B6)</f>
        <v/>
      </c>
      <c r="F6" s="17" t="n">
        <v>4</v>
      </c>
      <c r="G6" s="17" t="n">
        <v>5</v>
      </c>
      <c r="H6" s="10">
        <f>TEXT(F6,"0")&amp;"–"&amp;TEXT(G6,"0")</f>
        <v/>
      </c>
      <c r="I6" s="10">
        <f>COUNTIFS(Data!$C$2:$C$501,"&gt;="&amp;F6,Data!$C$2:$C$501,"&lt;"&amp;G6)</f>
        <v/>
      </c>
    </row>
    <row r="7">
      <c r="A7" s="17" t="n">
        <v>4</v>
      </c>
      <c r="B7" s="17" t="n">
        <v>6</v>
      </c>
      <c r="C7" s="10">
        <f>TEXT(A7,"0")&amp;"–"&amp;TEXT(B7,"0")</f>
        <v/>
      </c>
      <c r="D7" s="10">
        <f>COUNTIFS(Data!$B$2:$B$501,"&gt;="&amp;A7,Data!$B$2:$B$501,"&lt;"&amp;B7)</f>
        <v/>
      </c>
      <c r="F7" s="17" t="n">
        <v>5</v>
      </c>
      <c r="G7" s="17" t="n">
        <v>6</v>
      </c>
      <c r="H7" s="10">
        <f>TEXT(F7,"0")&amp;"–"&amp;TEXT(G7,"0")</f>
        <v/>
      </c>
      <c r="I7" s="10">
        <f>COUNTIFS(Data!$C$2:$C$501,"&gt;="&amp;F7,Data!$C$2:$C$501,"&lt;"&amp;G7)</f>
        <v/>
      </c>
    </row>
    <row r="8">
      <c r="A8" s="17" t="n">
        <v>6</v>
      </c>
      <c r="B8" s="17" t="n">
        <v>8</v>
      </c>
      <c r="C8" s="10">
        <f>TEXT(A8,"0")&amp;"–"&amp;TEXT(B8,"0")</f>
        <v/>
      </c>
      <c r="D8" s="10">
        <f>COUNTIFS(Data!$B$2:$B$501,"&gt;="&amp;A8,Data!$B$2:$B$501,"&lt;"&amp;B8)</f>
        <v/>
      </c>
      <c r="F8" s="17" t="n">
        <v>6</v>
      </c>
      <c r="G8" s="17" t="n">
        <v>7</v>
      </c>
      <c r="H8" s="10">
        <f>TEXT(F8,"0")&amp;"–"&amp;TEXT(G8,"0")</f>
        <v/>
      </c>
      <c r="I8" s="10">
        <f>COUNTIFS(Data!$C$2:$C$501,"&gt;="&amp;F8,Data!$C$2:$C$501,"&lt;"&amp;G8)</f>
        <v/>
      </c>
    </row>
    <row r="9">
      <c r="A9" s="17" t="n">
        <v>8</v>
      </c>
      <c r="B9" s="17" t="n">
        <v>10</v>
      </c>
      <c r="C9" s="10">
        <f>TEXT(A9,"0")&amp;"–"&amp;TEXT(B9,"0")</f>
        <v/>
      </c>
      <c r="D9" s="10">
        <f>COUNTIFS(Data!$B$2:$B$501,"&gt;="&amp;A9,Data!$B$2:$B$501,"&lt;"&amp;B9)</f>
        <v/>
      </c>
      <c r="F9" s="17" t="n">
        <v>7</v>
      </c>
      <c r="G9" s="17" t="n">
        <v>8</v>
      </c>
      <c r="H9" s="10">
        <f>TEXT(F9,"0")&amp;"–"&amp;TEXT(G9,"0")</f>
        <v/>
      </c>
      <c r="I9" s="10">
        <f>COUNTIFS(Data!$C$2:$C$501,"&gt;="&amp;F9,Data!$C$2:$C$501,"&lt;"&amp;G9)</f>
        <v/>
      </c>
    </row>
    <row r="10">
      <c r="A10" s="17" t="n">
        <v>10</v>
      </c>
      <c r="B10" s="17" t="n">
        <v>12</v>
      </c>
      <c r="C10" s="10">
        <f>TEXT(A10,"0")&amp;"–"&amp;TEXT(B10,"0")</f>
        <v/>
      </c>
      <c r="D10" s="10">
        <f>COUNTIFS(Data!$B$2:$B$501,"&gt;="&amp;A10,Data!$B$2:$B$501,"&lt;"&amp;B10)</f>
        <v/>
      </c>
      <c r="F10" s="17" t="n">
        <v>8</v>
      </c>
      <c r="G10" s="17" t="n">
        <v>9</v>
      </c>
      <c r="H10" s="10">
        <f>TEXT(F10,"0")&amp;"–"&amp;TEXT(G10,"0")</f>
        <v/>
      </c>
      <c r="I10" s="10">
        <f>COUNTIFS(Data!$C$2:$C$501,"&gt;="&amp;F10,Data!$C$2:$C$501,"&lt;"&amp;G10)</f>
        <v/>
      </c>
    </row>
    <row r="11">
      <c r="A11" s="17" t="n">
        <v>12</v>
      </c>
      <c r="B11" s="17" t="n">
        <v>24</v>
      </c>
      <c r="C11" s="10">
        <f>TEXT(A11,"0")&amp;"–"&amp;TEXT(B11,"0")</f>
        <v/>
      </c>
      <c r="D11" s="10">
        <f>COUNTIFS(Data!$B$2:$B$501,"&gt;="&amp;A11,Data!$B$2:$B$501,"&lt;="&amp;B11)</f>
        <v/>
      </c>
      <c r="F11" s="17" t="n">
        <v>9</v>
      </c>
      <c r="G11" s="17" t="n">
        <v>10</v>
      </c>
      <c r="H11" s="10">
        <f>TEXT(F11,"0")&amp;"–"&amp;TEXT(G11,"0")</f>
        <v/>
      </c>
      <c r="I11" s="10">
        <f>COUNTIFS(Data!$C$2:$C$501,"&gt;="&amp;F11,Data!$C$2:$C$501,"&lt;"&amp;G11)</f>
        <v/>
      </c>
    </row>
    <row r="12">
      <c r="F12" s="17" t="n">
        <v>10</v>
      </c>
      <c r="G12" s="17" t="n">
        <v>24</v>
      </c>
      <c r="H12" s="10">
        <f>TEXT(F12,"0")&amp;"–"&amp;TEXT(G12,"0")</f>
        <v/>
      </c>
      <c r="I12" s="10">
        <f>COUNTIFS(Data!$C$2:$C$501,"&gt;="&amp;F12,Data!$C$2:$C$501,"&lt;="&amp;G12)</f>
        <v/>
      </c>
    </row>
    <row r="13">
      <c r="A13" s="7" t="inlineStr">
        <is>
          <t>Each bin includes its lower limit and excludes its upper limit; the last bin also includes its upper limit.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40" customWidth="1" min="1" max="1"/>
    <col width="95" customWidth="1" min="2" max="2"/>
  </cols>
  <sheetData>
    <row r="1">
      <c r="A1" s="2" t="inlineStr">
        <is>
          <t>Interpretation</t>
        </is>
      </c>
    </row>
    <row r="2">
      <c r="A2" s="3" t="inlineStr">
        <is>
          <t>Generated automatically from the real data in the Data sheet.</t>
        </is>
      </c>
    </row>
    <row r="4">
      <c r="A4" s="18" t="inlineStr">
        <is>
          <t>Research Question</t>
        </is>
      </c>
      <c r="B4" s="19" t="inlineStr">
        <is>
          <t>Does Screen Time Affect Students’ Sleep?</t>
        </is>
      </c>
    </row>
    <row r="5">
      <c r="A5" s="18" t="inlineStr">
        <is>
          <t>Sample Size</t>
        </is>
      </c>
      <c r="B5" s="20">
        <f>'Correlation &amp; Regression'!B4</f>
        <v/>
      </c>
    </row>
    <row r="6">
      <c r="A6" s="18" t="inlineStr">
        <is>
          <t>Average Screen Time (hours/day)</t>
        </is>
      </c>
      <c r="B6" s="21">
        <f>IF('Correlation &amp; Regression'!B4=0,"n/a",'Descriptive Statistics'!B6)</f>
        <v/>
      </c>
    </row>
    <row r="7">
      <c r="A7" s="18" t="inlineStr">
        <is>
          <t>Average Sleep (hours/night)</t>
        </is>
      </c>
      <c r="B7" s="21">
        <f>IF('Correlation &amp; Regression'!B4=0,"n/a",'Descriptive Statistics'!C6)</f>
        <v/>
      </c>
    </row>
    <row r="8">
      <c r="A8" s="18" t="inlineStr">
        <is>
          <t>Correlation (r)</t>
        </is>
      </c>
      <c r="B8" s="22">
        <f>'Correlation &amp; Regression'!B5</f>
        <v/>
      </c>
    </row>
    <row r="9">
      <c r="A9" s="18" t="inlineStr">
        <is>
          <t>Regression (Sleep = a + b(Screen Time))</t>
        </is>
      </c>
      <c r="B9" s="19">
        <f>'Correlation &amp; Regression'!B9</f>
        <v/>
      </c>
    </row>
    <row r="10">
      <c r="A10" s="18" t="inlineStr">
        <is>
          <t>t-statistic</t>
        </is>
      </c>
      <c r="B10" s="22">
        <f>'Hypothesis Test'!B10</f>
        <v/>
      </c>
    </row>
    <row r="11">
      <c r="A11" s="18" t="inlineStr">
        <is>
          <t>Degrees of freedom</t>
        </is>
      </c>
      <c r="B11" s="20">
        <f>'Hypothesis Test'!B9</f>
        <v/>
      </c>
    </row>
    <row r="12">
      <c r="A12" s="18" t="inlineStr">
        <is>
          <t>p-value</t>
        </is>
      </c>
      <c r="B12" s="22">
        <f>'Hypothesis Test'!B11</f>
        <v/>
      </c>
    </row>
    <row r="13">
      <c r="A13" s="18" t="inlineStr">
        <is>
          <t>Significance level (α)</t>
        </is>
      </c>
      <c r="B13" s="21">
        <f>'Hypothesis Test'!B6</f>
        <v/>
      </c>
    </row>
    <row r="14">
      <c r="A14" s="18" t="inlineStr">
        <is>
          <t>Decision</t>
        </is>
      </c>
      <c r="B14" s="19">
        <f>'Hypothesis Test'!B13</f>
        <v/>
      </c>
    </row>
    <row r="15" ht="48" customHeight="1">
      <c r="A15" s="18" t="inlineStr">
        <is>
          <t>Final Conclusion</t>
        </is>
      </c>
      <c r="B15" s="23">
        <f>IF(ISNUMBER('Hypothesis Test'!B11),IF('Hypothesis Test'!B11&lt;'Hypothesis Test'!B6,"There is statistically significant evidence of a linear relationship between screen time and sleep duration in this sample.","There is not enough statistical evidence to conclude that screen time and sleep duration have a statistically significant linear relationship in this sample."),"Conclusion not available yet: at least 3 valid student responses (with variation in both variables) are needed.")</f>
        <v/>
      </c>
    </row>
    <row r="18">
      <c r="A18" s="4" t="inlineStr">
        <is>
          <t>How to use this workbook</t>
        </is>
      </c>
    </row>
    <row r="19">
      <c r="A19" s="10" t="inlineStr">
        <is>
          <t>1. Paste the real responses into the Data sheet, columns A–C, starting at row 2 (up to row 501). Do not type over any other sheet.</t>
        </is>
      </c>
    </row>
    <row r="20">
      <c r="A20" s="10" t="inlineStr">
        <is>
          <t>2. Every statistic, table, chart and conclusion updates automatically. Add or remove rows in Data and the results change.</t>
        </is>
      </c>
    </row>
    <row r="21">
      <c r="A21" s="10" t="inlineStr">
        <is>
          <t>3. Only valid pairs (both Screen Time and Sleep filled in) are used. This workbook contains no example or fictional data.</t>
        </is>
      </c>
    </row>
    <row r="22">
      <c r="A22" s="10" t="inlineStr">
        <is>
          <t>4. A statistically significant correlation shows a linear association in this sample; it does not by itself prove that screen time causes changes in sleep.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2026-10-06T15:54:33Z</dcterms:created>
  <dcterms:modified xmlns:dcterms="http://purl.org/dc/terms/" xmlns:xsi="http://www.w3.org/2001/XMLSchema-instance" xsi:type="dcterms:W3CDTF">2026-10-06T15:54:33Z</dcterms:modified>
</cp:coreProperties>
</file>